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6F9536F-D73A-48F9-B0C3-E7ADE87B38A7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Huong_dan" sheetId="1" r:id="rId1"/>
    <sheet name="Matrix" sheetId="2" r:id="rId2"/>
    <sheet name="Coverag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B6" i="3"/>
  <c r="B5" i="3"/>
  <c r="C5" i="3" s="1"/>
  <c r="B4" i="3"/>
  <c r="C4" i="3" s="1"/>
  <c r="B3" i="3"/>
  <c r="C3" i="3" s="1"/>
  <c r="B2" i="3"/>
  <c r="C2" i="3" s="1"/>
</calcChain>
</file>

<file path=xl/sharedStrings.xml><?xml version="1.0" encoding="utf-8"?>
<sst xmlns="http://schemas.openxmlformats.org/spreadsheetml/2006/main" count="273" uniqueCount="239">
  <si>
    <t>LITERATURE MATRIX — Hướng dẫn sử dụng</t>
  </si>
  <si>
    <t>File này theo dõi toàn bộ tài liệu tham khảo dùng cho đề tài DTSV2025-27.</t>
  </si>
  <si>
    <t>Sheet 'Matrix': mỗi dòng là 1 tài liệu. Ô nền VÀNG là ô CẦN BẠN tự bổ sung (DOI/số trang</t>
  </si>
  <si>
    <t xml:space="preserve">  còn thiếu do chưa xác minh được từ bản trích xuất ban đầu) — không được tự bịa số liệu,</t>
  </si>
  <si>
    <t xml:space="preserve">  để trống hoặc ghi 'Cần bổ sung' nếu chưa tra ra (đúng nguyên tắc CITATION_POLICY.md).</t>
  </si>
  <si>
    <t>Cột 'Tier': 1 = trong 8 database gốc (IEEE/Scopus/Springer/ScienceDirect/Elsevier/MDPI/</t>
  </si>
  <si>
    <t xml:space="preserve">  Taylor&amp;Francis/ACM). 2 = ngoại lệ đã duyệt (tạp chí trong nước có phản biện, luận văn</t>
  </si>
  <si>
    <t xml:space="preserve">  công khai, sách có NXB) — xem LITERATURE_RULES.md mục Database.</t>
  </si>
  <si>
    <t>Cột 'RQ liên quan': RQ1 thiết kế kiến trúc | RQ2 giao tiếp PLC/HMI/WinCC/VFD |</t>
  </si>
  <si>
    <t xml:space="preserve">  RQ3 thông số giám sát | RQ4 đánh giá hiệu năng.</t>
  </si>
  <si>
    <t>Sheet 'Coverage': đếm tự động số tài liệu theo từng RQ, cảnh báo RQ nào chưa đủ.</t>
  </si>
  <si>
    <t>Trạng thái tại 2026-08-07: 8/8 tài liệu đã nhập, nhưng CHƯA ĐỦ theo tiêu chí Expected</t>
  </si>
  <si>
    <t>Results ở LITERATURE_RULES.md (tối thiểu 15-20 tài liệu, mỗi RQ tối thiểu 3 tài liệu).</t>
  </si>
  <si>
    <t>Xem sheet Coverage để biết RQ nào đang thiếu nhiều nhất.</t>
  </si>
  <si>
    <t>STT</t>
  </si>
  <si>
    <t>Tác giả (Năm)</t>
  </si>
  <si>
    <t>Tên tài liệu</t>
  </si>
  <si>
    <t>Nguồn (Tạp chí/NXB/Trường)</t>
  </si>
  <si>
    <t>Loại nguồn</t>
  </si>
  <si>
    <t>Tier</t>
  </si>
  <si>
    <t>DOI/ISSN</t>
  </si>
  <si>
    <t>Thành phần hệ thống liên quan</t>
  </si>
  <si>
    <t>Thông số giám sát đề cập</t>
  </si>
  <si>
    <t>Phương pháp đánh giá đề cập</t>
  </si>
  <si>
    <t>Kết quả chính</t>
  </si>
  <si>
    <t>Khoảng trống/hạn chế</t>
  </si>
  <si>
    <t>RQ liên quan</t>
  </si>
  <si>
    <t>Trạng thái xác minh</t>
  </si>
  <si>
    <t>File (References/pdf/)</t>
  </si>
  <si>
    <t>Ghi chú</t>
  </si>
  <si>
    <t>Malla, N.B. và cộng sự (2023)</t>
  </si>
  <si>
    <t>Fault Identification and Protection of Induction Motor Using PLC and SCADA</t>
  </si>
  <si>
    <t>Journal of Artificial Intelligence Machine Learning and Neural Network</t>
  </si>
  <si>
    <t>Bài báo tạp chí</t>
  </si>
  <si>
    <t>10.55529/jaimlnn.41.27.38</t>
  </si>
  <si>
    <t>PLC, SCADA</t>
  </si>
  <si>
    <t>Thông số lỗi/sự cố động cơ (fault parameters)</t>
  </si>
  <si>
    <t>CẦN BỔ SUNG</t>
  </si>
  <si>
    <t>Đề xuất phương pháp nhận diện và bảo vệ lỗi động cơ bằng PLC+SCADA</t>
  </si>
  <si>
    <t>Chưa rõ có tích hợp HMI/WinCC/PROFINET đầy đủ hay chỉ PLC-SCADA đơn giản — cần đọc kỹ toàn văn</t>
  </si>
  <si>
    <t>RQ2, RQ3</t>
  </si>
  <si>
    <t>Một phần — DOI đã có, tạp chí nhỏ chưa xác minh chỉ số uy tín</t>
  </si>
  <si>
    <t>References/pdf/2023_Malla_FaultIdentificationPLCSCADA.pdf</t>
  </si>
  <si>
    <t>Đây là 1 trong 3 nguồn từng bị thiếu trong danh mục thuyết minh gốc, nay đã bổ sung</t>
  </si>
  <si>
    <t>Manafov, E.K. &amp; Huseynov, F.H. (2024)</t>
  </si>
  <si>
    <t>Modeling of an Integrated Traction Motor Protection System</t>
  </si>
  <si>
    <t>Наука та прогрес транспорту (Science and Transport Progress)</t>
  </si>
  <si>
    <t>ISSN 2307-3489 (Print), 2307-6666 (Online)</t>
  </si>
  <si>
    <t>PLC (TIA Portal)</t>
  </si>
  <si>
    <t>Nhiệt độ, từ trường (magnetic field)</t>
  </si>
  <si>
    <t>Mô phỏng trên TIA Portal</t>
  </si>
  <si>
    <t>Cải tiến bảo vệ động cơ kéo bằng PLC, giám sát đa thông số</t>
  </si>
  <si>
    <t>Quy mô công nghiệp đường sắt, không phải mini SCADA giáo dục — cần đối chiếu khi áp dụng</t>
  </si>
  <si>
    <t>Một phần — CẦN BỔ SUNG số volume/trang</t>
  </si>
  <si>
    <t>References/pdf/2024_Manafov_TractionMotorProtection.pdf</t>
  </si>
  <si>
    <t>Nguồn từng bị thiếu trong danh mục thuyết minh gốc, nay đã bổ sung</t>
  </si>
  <si>
    <t>Phạm Tâm Thành, Vũ Ngọc Minh (2018)</t>
  </si>
  <si>
    <t>Mô phỏng bộ khởi động mềm động cơ điện xoay chiều ba pha</t>
  </si>
  <si>
    <t>Journal of Transportation Science and Technology, Vol 29</t>
  </si>
  <si>
    <t>Không có PLC/HMI/WinCC — chỉ mô phỏng PSIM</t>
  </si>
  <si>
    <t>Không đề cập giám sát SCADA</t>
  </si>
  <si>
    <t>Mô phỏng phần mềm PSIM</t>
  </si>
  <si>
    <t>Xây dựng mô hình khởi động mềm động cơ, không liên quan SCADA</t>
  </si>
  <si>
    <t>Không thuộc kiến trúc mini SCADA — mức liên quan thấp, chỉ hỗ trợ nền tảng điều khiển động cơ</t>
  </si>
  <si>
    <t>RQ1 (yếu)</t>
  </si>
  <si>
    <t>Một phần — DOI/ISSN CẦN BỔ SUNG</t>
  </si>
  <si>
    <t>References/pdf/2018_PhamTamThanh_SoftStarterMotor.pdf</t>
  </si>
  <si>
    <t>Liên quan yếu — cân nhắc có giữ lại hay thay bằng nguồn sát chủ đề hơn</t>
  </si>
  <si>
    <t>Gedzurs, A. (2015)</t>
  </si>
  <si>
    <t>Temperature Protection Methods of Induction Motor</t>
  </si>
  <si>
    <t>Research for Rural Development 2015, Volume 1 (kỷ yếu hội nghị)</t>
  </si>
  <si>
    <t>Kỷ yếu hội nghị</t>
  </si>
  <si>
    <t>Không có PLC/SCADA — cảm biến nhiệt độ độc lập</t>
  </si>
  <si>
    <t>Nhiệt độ cuộn dây stator</t>
  </si>
  <si>
    <t>So sánh các loại cảm biến nhiệt (PTC, RTD, thermocouple)</t>
  </si>
  <si>
    <t>PTC hiệu quả chi phí; RTD dùng cho động cơ trung/cao áp</t>
  </si>
  <si>
    <t>Không đề cập tích hợp PLC/SCADA — chỉ hữu ích cho phần chọn cảm biến giám sát</t>
  </si>
  <si>
    <t>RQ3</t>
  </si>
  <si>
    <t>⚠ Sai lệch với thuyết minh gốc — xem Ghi chú</t>
  </si>
  <si>
    <t>References/pdf/2015_Gedzurs_TemperatureProtectionInductionMotor.pdf</t>
  </si>
  <si>
    <t>Thuyết minh gốc ghi nhầm '2016, Journal of Electrical Engineering' — thực tế là kỷ yếu hội nghị 2015. Cần sửa lại trong Chương 1</t>
  </si>
  <si>
    <t>Nguyễn Chí Ngôn và cộng sự (2022)</t>
  </si>
  <si>
    <t>Điều khiển thông minh động cơ không đồng bộ 3 pha dựa trên mạng nơ-ron mờ hồi quy</t>
  </si>
  <si>
    <t>TNU Journal of Science and Technology</t>
  </si>
  <si>
    <t>10.34238/tnu-jst.5358</t>
  </si>
  <si>
    <t>Không có PLC/SCADA — điều khiển bằng thuật toán AI</t>
  </si>
  <si>
    <t>Tốc độ động cơ</t>
  </si>
  <si>
    <t>Mô phỏng điều khiển bằng mạng nơ-ron mờ hồi quy</t>
  </si>
  <si>
    <t>Cải thiện đáp ứng điều khiển tốc độ bằng AI</t>
  </si>
  <si>
    <t>Dùng mạng nơ-ron (AI) — NẰM NGOÀI Scope đề tài (Scope loại trừ AI, xem RESEARCH_PROTOCOL.md mục 6)</t>
  </si>
  <si>
    <t>Bối cảnh (không phải phương pháp chính)</t>
  </si>
  <si>
    <t>Một phần — DOI đã có</t>
  </si>
  <si>
    <t>References/pdf/2022_NguyenChiNgon_DieuKhienThongMinhDongCo.pdf</t>
  </si>
  <si>
    <t>CHỈ dùng để viết phần bối cảnh/so sánh trong Chương 1, KHÔNG dùng làm cơ sở phương pháp vì đề tài loại trừ AI</t>
  </si>
  <si>
    <t>Nguyễn Phương Trà, Nguyễn Thành Đoàn (2020)</t>
  </si>
  <si>
    <t>Điều khiển tốc độ động cơ bằng thuật toán PWM với PLC S7-1200 và biến tần ATV310</t>
  </si>
  <si>
    <t>TDMU Vietnam Journal of Science</t>
  </si>
  <si>
    <t>10.37550/tdmu.VJS/2020.03.038</t>
  </si>
  <si>
    <t>PLC S7-1200, VFD (ATV310), HMI</t>
  </si>
  <si>
    <t>Tốc độ, tần số động cơ</t>
  </si>
  <si>
    <t>Thực nghiệm trên hệ thống PLC+VFD+HMI thật</t>
  </si>
  <si>
    <t>Điều khiển tốc độ động cơ 3 pha chính xác qua PWM, giám sát trên HMI</t>
  </si>
  <si>
    <t>Chưa có WinCC/PROFINET/SCADA trung tâm — chỉ dừng ở PLC+VFD+HMI tại chỗ</t>
  </si>
  <si>
    <t>RQ1, RQ2, RQ3</t>
  </si>
  <si>
    <t>Một phần — CẦN BỔ SUNG số trang</t>
  </si>
  <si>
    <t>References/pdf/2020_NguyenPhuongTra_PWM_S71200_ATV310.pdf</t>
  </si>
  <si>
    <t>Một trong những nguồn sát chủ đề nhất — cùng dùng PLC S7-1200 như đề tài</t>
  </si>
  <si>
    <t>Orhanen, A. (2021)</t>
  </si>
  <si>
    <t>Thermal overload protection and automated protection relay setting value calculations for high voltage asynchronous motors</t>
  </si>
  <si>
    <t>Luận văn Thạc sĩ, School of Technology and Innovations, Vaasa (Phần Lan)</t>
  </si>
  <si>
    <t>Luận văn Thạc sĩ</t>
  </si>
  <si>
    <t>Không có DOI (luận văn)</t>
  </si>
  <si>
    <t>Không có PLC/SCADA — relay bảo vệ độc lập</t>
  </si>
  <si>
    <t>Nhiệt độ, quá tải (thermal overload)</t>
  </si>
  <si>
    <t>Tính toán giá trị cài đặt relay bảo vệ tự động</t>
  </si>
  <si>
    <t>Đề xuất công thức tính ngưỡng bảo vệ nhiệt cho động cơ cao áp</t>
  </si>
  <si>
    <t>Quy mô cao áp công nghiệp, không phải mini SCADA — chỉ tham khảo phần thông số bảo vệ</t>
  </si>
  <si>
    <t>RQ3 (yếu)</t>
  </si>
  <si>
    <t>Một phần — nguồn từng bị thiếu trong thuyết minh gốc, nay đã bổ sung</t>
  </si>
  <si>
    <t>References/pdf/2021_Orhanen_ThermalOverloadProtection.pdf</t>
  </si>
  <si>
    <t>Trước đây bị trích dẫn trong bài (thuyết minh) nhưng thiếu trong danh mục — nay đã khớp</t>
  </si>
  <si>
    <t>Trần Văn Hiếu (2017)</t>
  </si>
  <si>
    <t>Thiết Kế Hệ Thống HMI SCADA Với TIA Portal</t>
  </si>
  <si>
    <t>NXB Khoa học Kỹ thuật</t>
  </si>
  <si>
    <t>Sách chuyên khảo</t>
  </si>
  <si>
    <t>Không có DOI (sách)</t>
  </si>
  <si>
    <t>PLC, HMI, WinCC (toàn bộ hệ sinh thái TIA Portal)</t>
  </si>
  <si>
    <t>Không cụ thể — sách hướng dẫn kỹ thuật chung</t>
  </si>
  <si>
    <t>Không áp dụng (sách hướng dẫn, không phải nghiên cứu thực nghiệm)</t>
  </si>
  <si>
    <t>Hướng dẫn chi tiết cách xây dựng hệ HMI/SCADA bằng TIA Portal — nền tảng kỹ thuật trực tiếp cho Phase 2-3</t>
  </si>
  <si>
    <t>Không phải nghiên cứu học thuật (sách hướng dẫn) — dùng làm tài liệu kỹ thuật nền, không dùng để chứng minh Research Gap</t>
  </si>
  <si>
    <t>RQ1, RQ2</t>
  </si>
  <si>
    <t>Một phần — cần ghi rõ số trang khi trích dẫn cụ thể</t>
  </si>
  <si>
    <t>References/pdf/2017_TranVanHieu_ThietKeHeThongHmiScadaTiaPortal.pdf</t>
  </si>
  <si>
    <t>Nguồn nền tảng kỹ thuật quan trọng nhất cho việc thiết kế thật (Phase 2), dùng nhiều khi triển khai</t>
  </si>
  <si>
    <t>Hijazi, A., Andó, M., Pödör, Z. (2025)</t>
  </si>
  <si>
    <t>Analysis of Time Drift and Real-Time Challenges in Programmable Logic Controller-Based Industrial Automation Systems: Insights from 24-Hour and 14-Day Tests</t>
  </si>
  <si>
    <t>Actuators, 14(11), 524 (ELTE Eötvös Loránd University, Hungary)</t>
  </si>
  <si>
    <t>10.3390/act14110524</t>
  </si>
  <si>
    <t>PLC (TIA/Siemens)</t>
  </si>
  <si>
    <t>Time drift, timestamp, độ trễ đồng bộ dữ liệu</t>
  </si>
  <si>
    <t>Thực nghiệm liên tục 24 giờ và 14 ngày, đo time drift/timestamp misalignment</t>
  </si>
  <si>
    <t>Phát hiện time drift, timestamp misalignment, forward/backward time jump khi PLC gửi dữ liệu liên tục dài hạn</t>
  </si>
  <si>
    <t>Không đề cập HMI/WinCC/PROFINET cụ thể — tập trung vào tầng dữ liệu PLC-database</t>
  </si>
  <si>
    <t>RQ4</t>
  </si>
  <si>
    <t>Đã xác minh, đã có PDF</t>
  </si>
  <si>
    <t>References/pdf/2025_Hijazi_TimeDriftPLC.pdf</t>
  </si>
  <si>
    <t>Tìm qua WebSearch 2026-08-07. Tải thủ công tại mdpi.com/2076-0825/14/11/524 (open access), lưu tên 2025_Hijazi_TimeDriftPLC.pdf</t>
  </si>
  <si>
    <t>Hijazi, A., Andó, M., Pödör, Z. (2024)</t>
  </si>
  <si>
    <t>Data losses and synchronization according to delay in PLC-based industrial automation systems</t>
  </si>
  <si>
    <t>Heliyon (Cell Press/Elsevier)</t>
  </si>
  <si>
    <t>10.1016/j.heliyon.2024.e37560</t>
  </si>
  <si>
    <t>PLC (TIA), kết nối 4 database (MSSQL/MySQL/MongoDB/Cassandra)</t>
  </si>
  <si>
    <t>Đếm xung (counter), độ trễ đồng bộ, mất dữ liệu</t>
  </si>
  <si>
    <t>Thực nghiệm đo mất dữ liệu và độ lệch đồng bộ ở tần số xung 1Hz, đề xuất công thức hiệu chỉnh độ trễ đạt độ chính xác mili-giây</t>
  </si>
  <si>
    <t>Đề xuất phương pháp hiệu chỉnh mất dữ liệu do đồng bộ — giá trị tham khảo trực tiếp cho RQ4 (phương pháp đánh giá độ trễ/mất gói)</t>
  </si>
  <si>
    <t>Không dùng SCADA/HMI/WinCC cụ thể — chỉ PLC ghi thẳng vào database</t>
  </si>
  <si>
    <t>References/pdf/2024_Hijazi_DataLossSyncPLC.pdf</t>
  </si>
  <si>
    <t>Tìm qua WebSearch 2026-08-07. Open access CC-BY, tải tại cell.com/heliyon hoặc PMC11415645, lưu tên 2024_Hijazi_DataLossSyncPLC.pdf</t>
  </si>
  <si>
    <t>Alcayde, A., Robalo, I., Montoya, F.G., Manzano-Agugliaro, F. (2022)</t>
  </si>
  <si>
    <t>SCADA System for Online Electrical Engineering Education</t>
  </si>
  <si>
    <t>Inventions, 7(4), 115 (University of Almeria, Spain)</t>
  </si>
  <si>
    <t>10.3390/inventions7040115</t>
  </si>
  <si>
    <t>SCADA, giáo dục trực tuyến kỹ thuật điện</t>
  </si>
  <si>
    <t>CẦN BỔ SUNG (đọc toàn văn)</t>
  </si>
  <si>
    <t>Xây dựng hệ SCADA phục vụ giảng dạy kỹ thuật điện trực tuyến</t>
  </si>
  <si>
    <t>Cần đọc toàn văn để xác định có tích hợp PLC/HMI/WinCC/PROFINET như đề tài không</t>
  </si>
  <si>
    <t>RQ1</t>
  </si>
  <si>
    <t>References/pdf/2022_Alcayde_SCADAOnlineEEEducation.pdf</t>
  </si>
  <si>
    <t>Tìm qua WebSearch 2026-08-07. Tải thủ công tại mdpi.com/2411-5134/7/4/115 (open access), lưu tên 2022_Alcayde_SCADAOnlineEEEducation.pdf</t>
  </si>
  <si>
    <t>Kalúz, M., Čirka, Ľ., Fikar, M. (2020)</t>
  </si>
  <si>
    <t>ELab: A Lightweight SCADA System for Control Engineering Research and Education</t>
  </si>
  <si>
    <t>IFAC-PapersOnLine, 53(2), 17228-17233 (21st IFAC World Congress)</t>
  </si>
  <si>
    <t>Bài báo hội nghị</t>
  </si>
  <si>
    <t>10.1016/j.ifacol.2020.12.1757</t>
  </si>
  <si>
    <t>SCADA (tự xây, mã nguồn mở), không dùng PLC hãng cụ thể</t>
  </si>
  <si>
    <t>Tùy nghi qua I/O node (Arduino/Raspberry Pi)</t>
  </si>
  <si>
    <t>Xây SCADA nhẹ (lightweight), mã nguồn mở, chi phí thấp cho phòng thí nghiệm điều khiển — rất sát tinh thần 'mini SCADA' của đề tài</t>
  </si>
  <si>
    <t>Dùng phần cứng mã nguồn mở (Arduino/Raspberry Pi) thay vì PLC công nghiệp như S7-1200 — khác nền tảng, chỉ tham khảo kiến trúc tổng thể</t>
  </si>
  <si>
    <t>References/pdf/2020_Kaluz_ELabLightweightSCADA.pdf</t>
  </si>
  <si>
    <t>Tìm qua WebSearch 2026-08-07. Open access qua ScienceDirect, lưu tên 2020_Kaluz_ELabLightweightSCADA.pdf. Nguồn RQ1 tốt nhất tìm được — nên đọc kỹ trước</t>
  </si>
  <si>
    <t>Adamo, F., Attivissimo, F., Cavone, G., Giaquinto, N. (2007)</t>
  </si>
  <si>
    <t>SCADA/HMI Systems in Advanced Educational Courses</t>
  </si>
  <si>
    <t>IEEE Transactions on Instrumentation and Measurement, 56(1), 4-10</t>
  </si>
  <si>
    <t>CẦN BỔ SUNG (tra qua IEEE Xplore document/4061068)</t>
  </si>
  <si>
    <t>SCADA, HMI (LabVIEW DSC)</t>
  </si>
  <si>
    <t>Xây dựng bài thực hành SCADA/HMI cho khóa học kỹ thuật nâng cao dùng LabVIEW</t>
  </si>
  <si>
    <t>Trước 2010 (2007) — dùng làm tài liệu nền tảng/kinh điển về giáo dục SCADA/HMI theo ngoại lệ ở Inclusion criteria, không phải nguồn chính</t>
  </si>
  <si>
    <t>References/pdf/2007_Adamo_SCADAHMIEducationalCourses.pdf</t>
  </si>
  <si>
    <t>Tìm qua WebSearch 2026-08-07. IEEE Xplore có thể yêu cầu quyền truy cập trường/thư viện để tải PDF</t>
  </si>
  <si>
    <t>Ferrari, P., Flammini, A., Marioli, D., Taroni, A. (2004)</t>
  </si>
  <si>
    <t>Experimental evaluation of PROFINET performance</t>
  </si>
  <si>
    <t>Proceedings of the IEEE International Workshop on Factory Communication Systems (WFCS)</t>
  </si>
  <si>
    <t>CẦN BỔ SUNG (tra qua IEEE Xplore document/1377739)</t>
  </si>
  <si>
    <t>PROFINET</t>
  </si>
  <si>
    <t>Cycle time, real-time behavior</t>
  </si>
  <si>
    <t>Đo thực nghiệm trên thiết bị thật</t>
  </si>
  <si>
    <t>PROFINET RT Class 1 có cycle variability &lt;10% ngay cả khi mạng tải cao; PROFINET Non-RT tích hợp được fieldbus cũ</t>
  </si>
  <si>
    <t>Đây là bài đánh giá hiệu năng PROFINET trực tiếp nhất tìm được — nền tảng tốt cho phương pháp đánh giá RQ4, nhưng đã hơi cũ (2004), công nghệ PROFINET đã phát triển thêm nhiều</t>
  </si>
  <si>
    <t>RQ2, RQ4</t>
  </si>
  <si>
    <t>References/pdf/2004_Ferrari_PROFINETPerformance.pdf</t>
  </si>
  <si>
    <t>Tìm qua WebSearch 2026-08-07. Cần quyền truy cập IEEE Xplore (thư viện trường) để tải, lưu tên 2004_Ferrari_PROFINETPerformance.pdf</t>
  </si>
  <si>
    <t>Ferrari, P., Flammini, A., Marioli, D., Taroni, A., Venturini, F. (2006)</t>
  </si>
  <si>
    <t>Experimental analysis to estimate jitter in PROFINET IO Class 1 networks</t>
  </si>
  <si>
    <t>2006 IEEE Conference on Emerging Technologies and Factory Automation (ETFA)</t>
  </si>
  <si>
    <t>CẦN BỔ SUNG (tra qua IEEE Xplore document/4178337)</t>
  </si>
  <si>
    <t>PROFINET IO</t>
  </si>
  <si>
    <t>Jitter, cycle time của bus/IO-Controller/IO-Device</t>
  </si>
  <si>
    <t>Kỹ thuật đo thực nghiệm trên thiết bị thật, sai số ước lượng &lt;5%</t>
  </si>
  <si>
    <t>Đề xuất phương pháp đo jitter cho mạng PROFINET IO Class 1 — trực tiếp hữu ích cho phương pháp đánh giá RQ4</t>
  </si>
  <si>
    <t>Chỉ đo tầng mạng, không đánh giá toàn hệ thống SCADA (PLC-HMI-WinCC)</t>
  </si>
  <si>
    <t>References/pdf/2006_Ferrari_JitterPROFINET.pdf</t>
  </si>
  <si>
    <t>Tìm qua WebSearch 2026-08-07. Đã tải và xác minh đúng bài qua trang 1 (title/tác giả khớp).</t>
  </si>
  <si>
    <t>Sowmiya, D. (2013)</t>
  </si>
  <si>
    <t>Monitoring and control of a PLC based VFD fed three phase induction motor for powder compacting press machine</t>
  </si>
  <si>
    <t>7th International Conference on Intelligent Systems and Control (ISCO), Coimbatore, pp. 90-92</t>
  </si>
  <si>
    <t>CẦN BỔ SUNG (tra qua IEEE Xplore document/6481128)</t>
  </si>
  <si>
    <t>PLC, VFD</t>
  </si>
  <si>
    <t>Tốc độ, dòng điện động cơ; thông số vận hành máy ép (ram down/dawdling/clasp/up)</t>
  </si>
  <si>
    <t>Không rõ — cần đọc toàn văn</t>
  </si>
  <si>
    <t>Hệ thống PLC điều phối VFD điều khiển động cơ 3 pha cho máy ép bột — ứng dụng công nghiệp thực tế gần sát đề tài</t>
  </si>
  <si>
    <t>Không có HMI/WinCC/PROFINET/SCADA trung tâm — chỉ dừng ở PLC+VFD, đúng vẫn là nguồn RQ1-3 tốt vì cùng cấu hình PLC+VFD+động cơ 3 pha như đề tài</t>
  </si>
  <si>
    <t>References/pdf/2013_Sowmiya_PLCVFDPowderPress.pdf</t>
  </si>
  <si>
    <t>Tìm qua WebSearch 2026-08-07. Cần quyền truy cập IEEE Xplore, lưu tên 2013_Sowmiya_PLCVFDPowderPress.pdf</t>
  </si>
  <si>
    <t>RQ</t>
  </si>
  <si>
    <t>Số tài liệu hỗ trợ</t>
  </si>
  <si>
    <t>Đạt tối thiểu 3?</t>
  </si>
  <si>
    <t>Lưu ý: cột B đếm MỌI dòng có nhắc RQ đó, kể cả liên quan yếu (VD RQ1 đếm cả nguồn đánh dấu "yếu" và sách kỹ thuật không phải bài học thuật). "Đạt" ở đây là đạt về SỐ LƯỢNG, chưa chắc đạt về CHẤT LƯỢNG — đọc cột Khoảng trống/hạn chế ở sheet Matrix trước khi kết luận RQ nào thực sự đủ.</t>
  </si>
  <si>
    <t>RQ2</t>
  </si>
  <si>
    <t>Tổng số tài liệu</t>
  </si>
  <si>
    <t>Nhận xét (2026-08-07):</t>
  </si>
  <si>
    <t>- RQ4 (đánh giá hiệu năng hệ thống) hầu như KHÔNG có tài liệu hỗ trợ trực tiếp trong 8</t>
  </si>
  <si>
    <t xml:space="preserve">  nguồn hiện tại — đây là RQ cần tìm thêm gấp nhất.</t>
  </si>
  <si>
    <t>- RQ1 (thiết kế kiến trúc mini SCADA tích hợp đầy đủ) chỉ có 1 nguồn thật sự sát</t>
  </si>
  <si>
    <t xml:space="preserve">  (Trần Văn Hiếu, sách hướng dẫn kỹ thuật, không phải nghiên cứu học thuật) — cần thêm</t>
  </si>
  <si>
    <t xml:space="preserve">  bài báo học thuật mô tả kiến trúc SCADA/mini SCADA tích hợp.</t>
  </si>
  <si>
    <t>- Nguồn #5 (Nguyễn Chí Ngôn) dùng AI — nằm ngoài Scope đề tài, chỉ tính là bối cảnh,</t>
  </si>
  <si>
    <t xml:space="preserve">  KHÔNG tính vào số lượng hỗ trợ RQ khi xét đủ/thiếu.</t>
  </si>
  <si>
    <t>- Tổng 8/15-20 — cần tìm thêm khoảng 7-12 tài liệu nữa, ưu tiên RQ1 và RQ4.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</si>
</sst>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sz val="11"/>
      <name val="Times New Roman"/>
      <charset val="1"/>
    </font>
    <font>
      <b/>
      <sz val="11"/>
      <name val="Times New Roman"/>
      <charset val="1"/>
    </font>
    <font>
      <b/>
      <sz val="11"/>
      <color rgb="FFFFFFFF"/>
      <name val="Times New Roman"/>
      <charset val="1"/>
    </font>
    <font>
      <sz val="10"/>
      <name val="Times New Roman"/>
      <charset val="1"/>
    </font>
    <font>
      <b/>
      <i/>
      <sz val="10"/>
      <name val="Times New Roman"/>
      <charset val="1"/>
    </font>
    <font>
      <i/>
      <sz val="1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3" fillId="0" borderId="1" xfId="0" applyFont="1" applyBorder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17.25" customHeight="1" x14ac:dyDescent="0.3">
      <c r="A1" s="1" t="s">
        <v>0</v>
      </c>
    </row>
    <row r="2" spans="1:1" ht="15" customHeight="1" x14ac:dyDescent="0.3">
      <c r="A2" s="2"/>
    </row>
    <row r="3" spans="1:1" ht="15" customHeight="1" x14ac:dyDescent="0.3">
      <c r="A3" s="3" t="s">
        <v>1</v>
      </c>
    </row>
    <row r="4" spans="1:1" ht="15" customHeight="1" x14ac:dyDescent="0.3">
      <c r="A4" s="2" t="s">
        <v>2</v>
      </c>
    </row>
    <row r="5" spans="1:1" ht="15" customHeight="1" x14ac:dyDescent="0.3">
      <c r="A5" s="2" t="s">
        <v>3</v>
      </c>
    </row>
    <row r="6" spans="1:1" ht="15" customHeight="1" x14ac:dyDescent="0.3">
      <c r="A6" s="2" t="s">
        <v>4</v>
      </c>
    </row>
    <row r="7" spans="1:1" ht="15" customHeight="1" x14ac:dyDescent="0.3">
      <c r="A7" s="2" t="s">
        <v>5</v>
      </c>
    </row>
    <row r="8" spans="1:1" ht="15" customHeight="1" x14ac:dyDescent="0.3">
      <c r="A8" s="2" t="s">
        <v>6</v>
      </c>
    </row>
    <row r="9" spans="1:1" ht="15" customHeight="1" x14ac:dyDescent="0.3">
      <c r="A9" s="2" t="s">
        <v>7</v>
      </c>
    </row>
    <row r="10" spans="1:1" ht="15" customHeight="1" x14ac:dyDescent="0.3">
      <c r="A10" s="2" t="s">
        <v>8</v>
      </c>
    </row>
    <row r="11" spans="1:1" ht="15" customHeight="1" x14ac:dyDescent="0.3">
      <c r="A11" s="2" t="s">
        <v>9</v>
      </c>
    </row>
    <row r="12" spans="1:1" ht="15" customHeight="1" x14ac:dyDescent="0.3">
      <c r="A12" s="2" t="s">
        <v>10</v>
      </c>
    </row>
    <row r="13" spans="1:1" ht="15" customHeight="1" x14ac:dyDescent="0.3">
      <c r="A13" s="2"/>
    </row>
    <row r="14" spans="1:1" ht="15" customHeight="1" x14ac:dyDescent="0.3">
      <c r="A14" s="3" t="s">
        <v>11</v>
      </c>
    </row>
    <row r="15" spans="1:1" ht="15" customHeight="1" x14ac:dyDescent="0.3">
      <c r="A15" s="2" t="s">
        <v>12</v>
      </c>
    </row>
    <row r="16" spans="1:1" ht="15" customHeight="1" x14ac:dyDescent="0.3">
      <c r="A16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tabSelected="1" zoomScaleNormal="100" workbookViewId="0">
      <pane ySplit="1" topLeftCell="A2" activePane="bottomLeft" state="frozen"/>
      <selection activeCell="I1" sqref="I1"/>
      <selection pane="bottomLeft" activeCell="O16" sqref="O16"/>
    </sheetView>
  </sheetViews>
  <sheetFormatPr defaultColWidth="8.6640625" defaultRowHeight="14.4" x14ac:dyDescent="0.3"/>
  <cols>
    <col min="1" max="1" width="5" style="4" customWidth="1"/>
    <col min="2" max="2" width="20" customWidth="1"/>
    <col min="3" max="3" width="34" customWidth="1"/>
    <col min="4" max="4" width="26" customWidth="1"/>
    <col min="5" max="5" width="14" customWidth="1"/>
    <col min="6" max="6" width="6" customWidth="1"/>
    <col min="7" max="7" width="20" customWidth="1"/>
    <col min="8" max="10" width="22" customWidth="1"/>
    <col min="11" max="11" width="30" customWidth="1"/>
    <col min="12" max="12" width="26" customWidth="1"/>
    <col min="13" max="13" width="12" customWidth="1"/>
    <col min="14" max="14" width="16" customWidth="1"/>
    <col min="15" max="15" width="26" customWidth="1"/>
    <col min="16" max="16" width="36" customWidth="1"/>
  </cols>
  <sheetData>
    <row r="1" spans="1:16" ht="30" customHeight="1" x14ac:dyDescent="0.3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</row>
    <row r="2" spans="1:16" ht="45.75" customHeight="1" x14ac:dyDescent="0.3">
      <c r="A2" s="6">
        <v>1</v>
      </c>
      <c r="B2" s="6" t="s">
        <v>30</v>
      </c>
      <c r="C2" s="6" t="s">
        <v>31</v>
      </c>
      <c r="D2" s="6" t="s">
        <v>32</v>
      </c>
      <c r="E2" s="6" t="s">
        <v>33</v>
      </c>
      <c r="F2" s="6">
        <v>2</v>
      </c>
      <c r="G2" s="6" t="s">
        <v>34</v>
      </c>
      <c r="H2" s="6" t="s">
        <v>35</v>
      </c>
      <c r="I2" s="6" t="s">
        <v>36</v>
      </c>
      <c r="J2" s="7" t="s">
        <v>37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42</v>
      </c>
      <c r="P2" s="6" t="s">
        <v>43</v>
      </c>
    </row>
    <row r="3" spans="1:16" ht="34.5" customHeight="1" x14ac:dyDescent="0.3">
      <c r="A3" s="6">
        <v>2</v>
      </c>
      <c r="B3" s="6" t="s">
        <v>44</v>
      </c>
      <c r="C3" s="6" t="s">
        <v>45</v>
      </c>
      <c r="D3" s="6" t="s">
        <v>46</v>
      </c>
      <c r="E3" s="6" t="s">
        <v>33</v>
      </c>
      <c r="F3" s="6">
        <v>2</v>
      </c>
      <c r="G3" s="6" t="s">
        <v>47</v>
      </c>
      <c r="H3" s="6" t="s">
        <v>48</v>
      </c>
      <c r="I3" s="6" t="s">
        <v>49</v>
      </c>
      <c r="J3" s="6" t="s">
        <v>50</v>
      </c>
      <c r="K3" s="6" t="s">
        <v>51</v>
      </c>
      <c r="L3" s="6" t="s">
        <v>52</v>
      </c>
      <c r="M3" s="6" t="s">
        <v>40</v>
      </c>
      <c r="N3" s="7" t="s">
        <v>53</v>
      </c>
      <c r="O3" s="6" t="s">
        <v>54</v>
      </c>
      <c r="P3" s="6" t="s">
        <v>55</v>
      </c>
    </row>
    <row r="4" spans="1:16" ht="45.75" customHeight="1" x14ac:dyDescent="0.3">
      <c r="A4" s="6">
        <v>3</v>
      </c>
      <c r="B4" s="6" t="s">
        <v>56</v>
      </c>
      <c r="C4" s="6" t="s">
        <v>57</v>
      </c>
      <c r="D4" s="6" t="s">
        <v>58</v>
      </c>
      <c r="E4" s="6" t="s">
        <v>33</v>
      </c>
      <c r="F4" s="6">
        <v>2</v>
      </c>
      <c r="G4" s="7" t="s">
        <v>37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7" t="s">
        <v>65</v>
      </c>
      <c r="O4" s="6" t="s">
        <v>66</v>
      </c>
      <c r="P4" s="6" t="s">
        <v>67</v>
      </c>
    </row>
    <row r="5" spans="1:16" ht="34.5" customHeight="1" x14ac:dyDescent="0.3">
      <c r="A5" s="6">
        <v>4</v>
      </c>
      <c r="B5" s="6" t="s">
        <v>68</v>
      </c>
      <c r="C5" s="6" t="s">
        <v>69</v>
      </c>
      <c r="D5" s="6" t="s">
        <v>70</v>
      </c>
      <c r="E5" s="6" t="s">
        <v>71</v>
      </c>
      <c r="F5" s="6">
        <v>2</v>
      </c>
      <c r="G5" s="7" t="s">
        <v>37</v>
      </c>
      <c r="H5" s="6" t="s">
        <v>72</v>
      </c>
      <c r="I5" s="6" t="s">
        <v>73</v>
      </c>
      <c r="J5" s="6" t="s">
        <v>74</v>
      </c>
      <c r="K5" s="6" t="s">
        <v>75</v>
      </c>
      <c r="L5" s="6" t="s">
        <v>76</v>
      </c>
      <c r="M5" s="6" t="s">
        <v>77</v>
      </c>
      <c r="N5" s="6" t="s">
        <v>78</v>
      </c>
      <c r="O5" s="6" t="s">
        <v>79</v>
      </c>
      <c r="P5" s="6" t="s">
        <v>80</v>
      </c>
    </row>
    <row r="6" spans="1:16" ht="57" customHeight="1" x14ac:dyDescent="0.3">
      <c r="A6" s="6">
        <v>5</v>
      </c>
      <c r="B6" s="6" t="s">
        <v>81</v>
      </c>
      <c r="C6" s="6" t="s">
        <v>82</v>
      </c>
      <c r="D6" s="6" t="s">
        <v>83</v>
      </c>
      <c r="E6" s="6" t="s">
        <v>33</v>
      </c>
      <c r="F6" s="6">
        <v>2</v>
      </c>
      <c r="G6" s="6" t="s">
        <v>84</v>
      </c>
      <c r="H6" s="6" t="s">
        <v>85</v>
      </c>
      <c r="I6" s="6" t="s">
        <v>86</v>
      </c>
      <c r="J6" s="6" t="s">
        <v>87</v>
      </c>
      <c r="K6" s="6" t="s">
        <v>88</v>
      </c>
      <c r="L6" s="6" t="s">
        <v>89</v>
      </c>
      <c r="M6" s="6" t="s">
        <v>90</v>
      </c>
      <c r="N6" s="6" t="s">
        <v>91</v>
      </c>
      <c r="O6" s="6" t="s">
        <v>92</v>
      </c>
      <c r="P6" s="6" t="s">
        <v>93</v>
      </c>
    </row>
    <row r="7" spans="1:16" ht="45.75" customHeight="1" x14ac:dyDescent="0.3">
      <c r="A7" s="6">
        <v>6</v>
      </c>
      <c r="B7" s="6" t="s">
        <v>94</v>
      </c>
      <c r="C7" s="6" t="s">
        <v>95</v>
      </c>
      <c r="D7" s="6" t="s">
        <v>96</v>
      </c>
      <c r="E7" s="6" t="s">
        <v>33</v>
      </c>
      <c r="F7" s="6">
        <v>2</v>
      </c>
      <c r="G7" s="6" t="s">
        <v>97</v>
      </c>
      <c r="H7" s="6" t="s">
        <v>98</v>
      </c>
      <c r="I7" s="6" t="s">
        <v>99</v>
      </c>
      <c r="J7" s="6" t="s">
        <v>100</v>
      </c>
      <c r="K7" s="6" t="s">
        <v>101</v>
      </c>
      <c r="L7" s="6" t="s">
        <v>102</v>
      </c>
      <c r="M7" s="6" t="s">
        <v>103</v>
      </c>
      <c r="N7" s="7" t="s">
        <v>104</v>
      </c>
      <c r="O7" s="6" t="s">
        <v>105</v>
      </c>
      <c r="P7" s="6" t="s">
        <v>106</v>
      </c>
    </row>
    <row r="8" spans="1:16" ht="45.75" customHeight="1" x14ac:dyDescent="0.3">
      <c r="A8" s="6">
        <v>7</v>
      </c>
      <c r="B8" s="6" t="s">
        <v>107</v>
      </c>
      <c r="C8" s="6" t="s">
        <v>108</v>
      </c>
      <c r="D8" s="6" t="s">
        <v>109</v>
      </c>
      <c r="E8" s="6" t="s">
        <v>110</v>
      </c>
      <c r="F8" s="6">
        <v>2</v>
      </c>
      <c r="G8" s="6" t="s">
        <v>111</v>
      </c>
      <c r="H8" s="6" t="s">
        <v>112</v>
      </c>
      <c r="I8" s="6" t="s">
        <v>113</v>
      </c>
      <c r="J8" s="6" t="s">
        <v>114</v>
      </c>
      <c r="K8" s="6" t="s">
        <v>115</v>
      </c>
      <c r="L8" s="6" t="s">
        <v>116</v>
      </c>
      <c r="M8" s="6" t="s">
        <v>117</v>
      </c>
      <c r="N8" s="6" t="s">
        <v>118</v>
      </c>
      <c r="O8" s="6" t="s">
        <v>119</v>
      </c>
      <c r="P8" s="6" t="s">
        <v>120</v>
      </c>
    </row>
    <row r="9" spans="1:16" ht="45.75" customHeight="1" x14ac:dyDescent="0.3">
      <c r="A9" s="6">
        <v>8</v>
      </c>
      <c r="B9" s="6" t="s">
        <v>121</v>
      </c>
      <c r="C9" s="6" t="s">
        <v>122</v>
      </c>
      <c r="D9" s="6" t="s">
        <v>123</v>
      </c>
      <c r="E9" s="6" t="s">
        <v>124</v>
      </c>
      <c r="F9" s="6">
        <v>2</v>
      </c>
      <c r="G9" s="6" t="s">
        <v>125</v>
      </c>
      <c r="H9" s="6" t="s">
        <v>126</v>
      </c>
      <c r="I9" s="6" t="s">
        <v>127</v>
      </c>
      <c r="J9" s="6" t="s">
        <v>128</v>
      </c>
      <c r="K9" s="6" t="s">
        <v>129</v>
      </c>
      <c r="L9" s="6" t="s">
        <v>130</v>
      </c>
      <c r="M9" s="6" t="s">
        <v>131</v>
      </c>
      <c r="N9" s="6" t="s">
        <v>132</v>
      </c>
      <c r="O9" s="6" t="s">
        <v>133</v>
      </c>
      <c r="P9" s="6" t="s">
        <v>134</v>
      </c>
    </row>
    <row r="10" spans="1:16" ht="57" customHeight="1" x14ac:dyDescent="0.3">
      <c r="A10" s="6">
        <v>9</v>
      </c>
      <c r="B10" s="6" t="s">
        <v>135</v>
      </c>
      <c r="C10" s="6" t="s">
        <v>136</v>
      </c>
      <c r="D10" s="6" t="s">
        <v>137</v>
      </c>
      <c r="E10" s="6" t="s">
        <v>33</v>
      </c>
      <c r="F10" s="6">
        <v>1</v>
      </c>
      <c r="G10" s="6" t="s">
        <v>138</v>
      </c>
      <c r="H10" s="6" t="s">
        <v>139</v>
      </c>
      <c r="I10" s="6" t="s">
        <v>140</v>
      </c>
      <c r="J10" s="6" t="s">
        <v>141</v>
      </c>
      <c r="K10" s="6" t="s">
        <v>142</v>
      </c>
      <c r="L10" s="6" t="s">
        <v>143</v>
      </c>
      <c r="M10" s="6" t="s">
        <v>144</v>
      </c>
      <c r="N10" s="6" t="s">
        <v>145</v>
      </c>
      <c r="O10" s="8" t="s">
        <v>146</v>
      </c>
      <c r="P10" s="6" t="s">
        <v>147</v>
      </c>
    </row>
    <row r="11" spans="1:16" ht="57" customHeight="1" x14ac:dyDescent="0.3">
      <c r="A11" s="6">
        <v>10</v>
      </c>
      <c r="B11" s="6" t="s">
        <v>148</v>
      </c>
      <c r="C11" s="6" t="s">
        <v>149</v>
      </c>
      <c r="D11" s="6" t="s">
        <v>150</v>
      </c>
      <c r="E11" s="6" t="s">
        <v>33</v>
      </c>
      <c r="F11" s="6">
        <v>1</v>
      </c>
      <c r="G11" s="6" t="s">
        <v>151</v>
      </c>
      <c r="H11" s="6" t="s">
        <v>152</v>
      </c>
      <c r="I11" s="6" t="s">
        <v>153</v>
      </c>
      <c r="J11" s="6" t="s">
        <v>154</v>
      </c>
      <c r="K11" s="6" t="s">
        <v>155</v>
      </c>
      <c r="L11" s="6" t="s">
        <v>156</v>
      </c>
      <c r="M11" s="6" t="s">
        <v>144</v>
      </c>
      <c r="N11" s="6" t="s">
        <v>145</v>
      </c>
      <c r="O11" s="8" t="s">
        <v>157</v>
      </c>
      <c r="P11" s="6" t="s">
        <v>158</v>
      </c>
    </row>
    <row r="12" spans="1:16" ht="45.75" customHeight="1" x14ac:dyDescent="0.3">
      <c r="A12" s="6">
        <v>11</v>
      </c>
      <c r="B12" s="6" t="s">
        <v>159</v>
      </c>
      <c r="C12" s="6" t="s">
        <v>160</v>
      </c>
      <c r="D12" s="6" t="s">
        <v>161</v>
      </c>
      <c r="E12" s="6" t="s">
        <v>33</v>
      </c>
      <c r="F12" s="6">
        <v>1</v>
      </c>
      <c r="G12" s="6" t="s">
        <v>162</v>
      </c>
      <c r="H12" s="6" t="s">
        <v>163</v>
      </c>
      <c r="I12" s="7" t="s">
        <v>164</v>
      </c>
      <c r="J12" s="7" t="s">
        <v>164</v>
      </c>
      <c r="K12" s="6" t="s">
        <v>165</v>
      </c>
      <c r="L12" s="6" t="s">
        <v>166</v>
      </c>
      <c r="M12" s="6" t="s">
        <v>167</v>
      </c>
      <c r="N12" s="6" t="s">
        <v>145</v>
      </c>
      <c r="O12" s="8" t="s">
        <v>168</v>
      </c>
      <c r="P12" s="6" t="s">
        <v>169</v>
      </c>
    </row>
    <row r="13" spans="1:16" ht="57" customHeight="1" x14ac:dyDescent="0.3">
      <c r="A13" s="6">
        <v>12</v>
      </c>
      <c r="B13" s="6" t="s">
        <v>170</v>
      </c>
      <c r="C13" s="6" t="s">
        <v>171</v>
      </c>
      <c r="D13" s="6" t="s">
        <v>172</v>
      </c>
      <c r="E13" s="6" t="s">
        <v>173</v>
      </c>
      <c r="F13" s="6">
        <v>1</v>
      </c>
      <c r="G13" s="6" t="s">
        <v>174</v>
      </c>
      <c r="H13" s="6" t="s">
        <v>175</v>
      </c>
      <c r="I13" s="6" t="s">
        <v>176</v>
      </c>
      <c r="J13" s="7" t="s">
        <v>164</v>
      </c>
      <c r="K13" s="6" t="s">
        <v>177</v>
      </c>
      <c r="L13" s="6" t="s">
        <v>178</v>
      </c>
      <c r="M13" s="6" t="s">
        <v>167</v>
      </c>
      <c r="N13" s="6" t="s">
        <v>145</v>
      </c>
      <c r="O13" s="8" t="s">
        <v>179</v>
      </c>
      <c r="P13" s="6" t="s">
        <v>180</v>
      </c>
    </row>
    <row r="14" spans="1:16" ht="57" customHeight="1" x14ac:dyDescent="0.3">
      <c r="A14" s="6">
        <v>13</v>
      </c>
      <c r="B14" s="6" t="s">
        <v>181</v>
      </c>
      <c r="C14" s="6" t="s">
        <v>182</v>
      </c>
      <c r="D14" s="6" t="s">
        <v>183</v>
      </c>
      <c r="E14" s="6" t="s">
        <v>33</v>
      </c>
      <c r="F14" s="6">
        <v>1</v>
      </c>
      <c r="G14" s="7" t="s">
        <v>184</v>
      </c>
      <c r="H14" s="6" t="s">
        <v>185</v>
      </c>
      <c r="I14" s="7" t="s">
        <v>164</v>
      </c>
      <c r="J14" s="7" t="s">
        <v>164</v>
      </c>
      <c r="K14" s="6" t="s">
        <v>186</v>
      </c>
      <c r="L14" s="6" t="s">
        <v>187</v>
      </c>
      <c r="M14" s="6" t="s">
        <v>167</v>
      </c>
      <c r="N14" s="6" t="s">
        <v>145</v>
      </c>
      <c r="O14" s="8" t="s">
        <v>188</v>
      </c>
      <c r="P14" s="6" t="s">
        <v>189</v>
      </c>
    </row>
    <row r="15" spans="1:16" ht="68.25" customHeight="1" x14ac:dyDescent="0.3">
      <c r="A15" s="6">
        <v>14</v>
      </c>
      <c r="B15" s="6" t="s">
        <v>190</v>
      </c>
      <c r="C15" s="6" t="s">
        <v>191</v>
      </c>
      <c r="D15" s="6" t="s">
        <v>192</v>
      </c>
      <c r="E15" s="6" t="s">
        <v>173</v>
      </c>
      <c r="F15" s="6">
        <v>1</v>
      </c>
      <c r="G15" s="7" t="s">
        <v>193</v>
      </c>
      <c r="H15" s="6" t="s">
        <v>194</v>
      </c>
      <c r="I15" s="6" t="s">
        <v>195</v>
      </c>
      <c r="J15" s="6" t="s">
        <v>196</v>
      </c>
      <c r="K15" s="6" t="s">
        <v>197</v>
      </c>
      <c r="L15" s="6" t="s">
        <v>198</v>
      </c>
      <c r="M15" s="6" t="s">
        <v>199</v>
      </c>
      <c r="N15" s="6" t="s">
        <v>145</v>
      </c>
      <c r="O15" s="8" t="s">
        <v>200</v>
      </c>
      <c r="P15" s="6" t="s">
        <v>201</v>
      </c>
    </row>
    <row r="16" spans="1:16" ht="57.75" customHeight="1" x14ac:dyDescent="0.3">
      <c r="A16" s="6">
        <v>15</v>
      </c>
      <c r="B16" s="6" t="s">
        <v>202</v>
      </c>
      <c r="C16" s="6" t="s">
        <v>203</v>
      </c>
      <c r="D16" s="6" t="s">
        <v>204</v>
      </c>
      <c r="E16" s="6" t="s">
        <v>173</v>
      </c>
      <c r="F16" s="6">
        <v>1</v>
      </c>
      <c r="G16" s="7" t="s">
        <v>205</v>
      </c>
      <c r="H16" s="6" t="s">
        <v>206</v>
      </c>
      <c r="I16" s="6" t="s">
        <v>207</v>
      </c>
      <c r="J16" s="6" t="s">
        <v>208</v>
      </c>
      <c r="K16" s="6" t="s">
        <v>209</v>
      </c>
      <c r="L16" s="6" t="s">
        <v>210</v>
      </c>
      <c r="M16" s="6" t="s">
        <v>199</v>
      </c>
      <c r="N16" s="6" t="s">
        <v>145</v>
      </c>
      <c r="O16" s="8" t="s">
        <v>211</v>
      </c>
      <c r="P16" s="6" t="s">
        <v>212</v>
      </c>
    </row>
    <row r="17" spans="1:16" ht="79.5" customHeight="1" x14ac:dyDescent="0.3">
      <c r="A17" s="6">
        <v>16</v>
      </c>
      <c r="B17" s="6" t="s">
        <v>213</v>
      </c>
      <c r="C17" s="6" t="s">
        <v>214</v>
      </c>
      <c r="D17" s="6" t="s">
        <v>215</v>
      </c>
      <c r="E17" s="6" t="s">
        <v>173</v>
      </c>
      <c r="F17" s="6">
        <v>1</v>
      </c>
      <c r="G17" s="7" t="s">
        <v>216</v>
      </c>
      <c r="H17" s="6" t="s">
        <v>217</v>
      </c>
      <c r="I17" s="6" t="s">
        <v>218</v>
      </c>
      <c r="J17" s="6" t="s">
        <v>219</v>
      </c>
      <c r="K17" s="6" t="s">
        <v>220</v>
      </c>
      <c r="L17" s="6" t="s">
        <v>221</v>
      </c>
      <c r="M17" s="6" t="s">
        <v>103</v>
      </c>
      <c r="N17" s="6" t="s">
        <v>145</v>
      </c>
      <c r="O17" s="8" t="s">
        <v>222</v>
      </c>
      <c r="P17" s="6" t="s"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zoomScaleNormal="100" workbookViewId="0"/>
  </sheetViews>
  <sheetFormatPr defaultColWidth="8.6640625" defaultRowHeight="14.4" x14ac:dyDescent="0.3"/>
  <cols>
    <col min="1" max="1" width="30" customWidth="1"/>
    <col min="2" max="3" width="14" customWidth="1"/>
    <col min="4" max="4" width="50" customWidth="1"/>
  </cols>
  <sheetData>
    <row r="1" spans="1:4" ht="24.75" customHeight="1" x14ac:dyDescent="0.3">
      <c r="A1" s="9" t="s">
        <v>224</v>
      </c>
      <c r="B1" s="9" t="s">
        <v>225</v>
      </c>
      <c r="C1" s="9" t="s">
        <v>226</v>
      </c>
      <c r="D1" s="9" t="s">
        <v>29</v>
      </c>
    </row>
    <row r="2" spans="1:4" ht="15" customHeight="1" x14ac:dyDescent="0.3">
      <c r="A2" s="10" t="s">
        <v>167</v>
      </c>
      <c r="B2" s="11">
        <f>COUNTIF(Matrix!M2:M17,"*RQ1*")</f>
        <v>7</v>
      </c>
      <c r="C2" s="12" t="str">
        <f>IF(B2&gt;=3,"Đạt","CHƯA đủ (cần thêm " &amp; (3-B2) &amp; ")")</f>
        <v>Đạt</v>
      </c>
      <c r="D2" s="13" t="s">
        <v>227</v>
      </c>
    </row>
    <row r="3" spans="1:4" ht="15" customHeight="1" x14ac:dyDescent="0.3">
      <c r="A3" s="10" t="s">
        <v>228</v>
      </c>
      <c r="B3" s="11">
        <f>COUNTIF(Matrix!M2:M17,"*RQ2*")</f>
        <v>7</v>
      </c>
      <c r="C3" s="12" t="str">
        <f>IF(B3&gt;=3,"Đạt","CHƯA đủ (cần thêm " &amp; (3-B3) &amp; ")")</f>
        <v>Đạt</v>
      </c>
    </row>
    <row r="4" spans="1:4" ht="15" customHeight="1" x14ac:dyDescent="0.3">
      <c r="A4" s="10" t="s">
        <v>77</v>
      </c>
      <c r="B4" s="11">
        <f>COUNTIF(Matrix!M2:M17,"*RQ3*")</f>
        <v>6</v>
      </c>
      <c r="C4" s="12" t="str">
        <f>IF(B4&gt;=3,"Đạt","CHƯA đủ (cần thêm " &amp; (3-B4) &amp; ")")</f>
        <v>Đạt</v>
      </c>
    </row>
    <row r="5" spans="1:4" ht="15" customHeight="1" x14ac:dyDescent="0.3">
      <c r="A5" s="10" t="s">
        <v>144</v>
      </c>
      <c r="B5" s="11">
        <f>COUNTIF(Matrix!M2:M17,"*RQ4*")</f>
        <v>4</v>
      </c>
      <c r="C5" s="12" t="str">
        <f>IF(B5&gt;=3,"Đạt","CHƯA đủ (cần thêm " &amp; (3-B5) &amp; ")")</f>
        <v>Đạt</v>
      </c>
    </row>
    <row r="6" spans="1:4" ht="15" customHeight="1" x14ac:dyDescent="0.3">
      <c r="A6" s="14" t="s">
        <v>229</v>
      </c>
      <c r="B6" s="14">
        <f>COUNTA(Matrix!A2:A17)</f>
        <v>16</v>
      </c>
      <c r="C6" s="14" t="str">
        <f>IF(B6&gt;=15,"Đạt (≥15)","CHƯA đủ (cần ≥15-20)")</f>
        <v>Đạt (≥15)</v>
      </c>
    </row>
    <row r="8" spans="1:4" ht="15" customHeight="1" x14ac:dyDescent="0.3">
      <c r="A8" s="15"/>
    </row>
    <row r="9" spans="1:4" ht="15" customHeight="1" x14ac:dyDescent="0.3">
      <c r="A9" s="16" t="s">
        <v>230</v>
      </c>
    </row>
    <row r="10" spans="1:4" ht="15" customHeight="1" x14ac:dyDescent="0.3">
      <c r="A10" s="15" t="s">
        <v>231</v>
      </c>
    </row>
    <row r="11" spans="1:4" ht="15" customHeight="1" x14ac:dyDescent="0.3">
      <c r="A11" s="15" t="s">
        <v>232</v>
      </c>
    </row>
    <row r="12" spans="1:4" ht="15" customHeight="1" x14ac:dyDescent="0.3">
      <c r="A12" s="15" t="s">
        <v>233</v>
      </c>
    </row>
    <row r="13" spans="1:4" ht="15" customHeight="1" x14ac:dyDescent="0.3">
      <c r="A13" s="15" t="s">
        <v>234</v>
      </c>
    </row>
    <row r="14" spans="1:4" ht="15" customHeight="1" x14ac:dyDescent="0.3">
      <c r="A14" s="15" t="s">
        <v>235</v>
      </c>
    </row>
    <row r="15" spans="1:4" ht="15" customHeight="1" x14ac:dyDescent="0.3">
      <c r="A15" s="15" t="s">
        <v>236</v>
      </c>
    </row>
    <row r="16" spans="1:4" ht="15" customHeight="1" x14ac:dyDescent="0.3">
      <c r="A16" s="15" t="s">
        <v>237</v>
      </c>
    </row>
    <row r="17" spans="1:1" ht="15" customHeight="1" x14ac:dyDescent="0.3">
      <c r="A17" s="15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Huong_dan</vt:lpstr>
      <vt:lpstr>Matrix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huy tang</cp:lastModifiedBy>
  <cp:revision>0</cp:revision>
  <dcterms:created xsi:type="dcterms:W3CDTF">2026-08-07T09:37:44Z</dcterms:created>
  <dcterms:modified xsi:type="dcterms:W3CDTF">2026-08-07T10:56:15Z</dcterms:modified>
  <dc:language>en-US</dc:language>
</cp:coreProperties>
</file>