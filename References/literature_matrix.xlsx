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Huong_dan" sheetId="1" state="visible" r:id="rId1"/>
    <sheet xmlns:r="http://schemas.openxmlformats.org/officeDocument/2006/relationships" name="Matrix" sheetId="2" state="visible" r:id="rId2"/>
    <sheet xmlns:r="http://schemas.openxmlformats.org/officeDocument/2006/relationships" name="Coverag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Times New Roman"/>
      <charset val="1"/>
      <family val="0"/>
      <b val="1"/>
      <sz val="14"/>
    </font>
    <font>
      <name val="Times New Roman"/>
      <charset val="1"/>
      <family val="0"/>
      <sz val="11"/>
    </font>
    <font>
      <name val="Times New Roman"/>
      <charset val="1"/>
      <family val="0"/>
      <b val="1"/>
      <sz val="11"/>
    </font>
    <font>
      <name val="Times New Roman"/>
      <charset val="1"/>
      <family val="0"/>
      <b val="1"/>
      <color rgb="FFFFFFFF"/>
      <sz val="11"/>
    </font>
    <font>
      <name val="Times New Roman"/>
      <charset val="1"/>
      <family val="0"/>
      <sz val="10"/>
    </font>
    <font>
      <name val="Times New Roman"/>
      <charset val="1"/>
      <family val="0"/>
      <strike val="1"/>
      <color rgb="FF808080"/>
      <sz val="10"/>
    </font>
    <font>
      <name val="Times New Roman"/>
      <charset val="1"/>
      <family val="0"/>
      <b val="1"/>
      <i val="1"/>
      <sz val="10"/>
    </font>
    <font>
      <name val="Times New Roman"/>
      <charset val="1"/>
      <family val="0"/>
      <i val="1"/>
      <sz val="10"/>
    </font>
    <font>
      <name val="Times New Roman"/>
      <strike val="0"/>
      <color rgb="FF808080"/>
      <sz val="10"/>
    </font>
  </fonts>
  <fills count="4">
    <fill>
      <patternFill/>
    </fill>
    <fill>
      <patternFill patternType="gray125"/>
    </fill>
    <fill>
      <patternFill patternType="solid">
        <fgColor rgb="FF1F4E78"/>
        <bgColor rgb="FF003366"/>
      </patternFill>
    </fill>
    <fill>
      <patternFill patternType="solid">
        <fgColor rgb="FFFFD966"/>
        <bgColor rgb="FFFFD96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center" vertical="bottom"/>
    </xf>
    <xf numFmtId="0" fontId="7"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7" fillId="2" borderId="1" applyAlignment="1" pivotButton="0" quotePrefix="0" xfId="0">
      <alignment horizontal="center" vertical="bottom" wrapText="1"/>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0" fontId="6" fillId="0" borderId="1" applyAlignment="1" pivotButton="0" quotePrefix="0" xfId="0">
      <alignment horizontal="center" vertical="bottom"/>
    </xf>
    <xf numFmtId="0" fontId="10" fillId="0" borderId="0" applyAlignment="1" pivotButton="0" quotePrefix="0" xfId="0">
      <alignment horizontal="general" vertical="top" wrapText="1"/>
    </xf>
    <xf numFmtId="0" fontId="6" fillId="0" borderId="1" applyAlignment="1" pivotButton="0" quotePrefix="0" xfId="0">
      <alignment horizontal="general" vertical="bottom"/>
    </xf>
    <xf numFmtId="0" fontId="11" fillId="0" borderId="0"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center" vertical="bottom"/>
    </xf>
    <xf numFmtId="0" fontId="7"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7" fillId="2" borderId="1" applyAlignment="1" pivotButton="0" quotePrefix="0" xfId="0">
      <alignment horizontal="center" vertical="bottom" wrapText="1"/>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0" fontId="6" fillId="0" borderId="1" applyAlignment="1" pivotButton="0" quotePrefix="0" xfId="0">
      <alignment horizontal="center" vertical="bottom"/>
    </xf>
    <xf numFmtId="0" fontId="10" fillId="0" borderId="0" applyAlignment="1" pivotButton="0" quotePrefix="0" xfId="0">
      <alignment horizontal="general" vertical="top" wrapText="1"/>
    </xf>
    <xf numFmtId="0" fontId="6" fillId="0" borderId="1" applyAlignment="1" pivotButton="0" quotePrefix="0" xfId="0">
      <alignment horizontal="general" vertical="bottom"/>
    </xf>
    <xf numFmtId="0" fontId="11"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1" applyAlignment="1" pivotButton="0" quotePrefix="0" xfId="0">
      <alignment horizontal="general" vertical="top" wrapText="1"/>
    </xf>
    <xf numFmtId="0" fontId="8" fillId="3" borderId="1" applyAlignment="1" pivotButton="0" quotePrefix="0" xfId="0">
      <alignment horizontal="general" vertical="top" wrapText="1"/>
    </xf>
    <xf numFmtId="0" fontId="12"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4.25" customHeight="0" zeroHeight="0" outlineLevelRow="0"/>
  <cols>
    <col width="100" customWidth="1" style="17" min="1" max="1"/>
  </cols>
  <sheetData>
    <row r="1" ht="17.25" customHeight="1" s="18">
      <c r="A1" s="19" t="inlineStr">
        <is>
          <t>LITERATURE MATRIX — Hướng dẫn sử dụng</t>
        </is>
      </c>
    </row>
    <row r="2" ht="15" customHeight="1" s="18">
      <c r="A2" s="20" t="n"/>
    </row>
    <row r="3" ht="15" customHeight="1" s="18">
      <c r="A3" s="21" t="inlineStr">
        <is>
          <t>File này theo dõi toàn bộ tài liệu tham khảo dùng cho đề tài DTSV2025-27.</t>
        </is>
      </c>
    </row>
    <row r="4" ht="15" customHeight="1" s="18">
      <c r="A4" s="20" t="inlineStr">
        <is>
          <t>Sheet 'Matrix': mỗi dòng là 1 tài liệu. Ô nền VÀNG là ô CẦN BẠN tự bổ sung (DOI/số trang</t>
        </is>
      </c>
    </row>
    <row r="5" ht="15" customHeight="1" s="18">
      <c r="A5" s="20" t="inlineStr">
        <is>
          <t xml:space="preserve">  còn thiếu do chưa xác minh được từ bản trích xuất ban đầu) — không được tự bịa số liệu,</t>
        </is>
      </c>
    </row>
    <row r="6" ht="15" customHeight="1" s="18">
      <c r="A6" s="20" t="inlineStr">
        <is>
          <t xml:space="preserve">  để trống hoặc ghi 'Cần bổ sung' nếu chưa tra ra (đúng nguyên tắc CITATION_POLICY.md).</t>
        </is>
      </c>
    </row>
    <row r="7" ht="15" customHeight="1" s="18">
      <c r="A7" s="20" t="inlineStr">
        <is>
          <t>Cột 'Tier': 1 = trong 8 database gốc (IEEE/Scopus/Springer/ScienceDirect/Elsevier/MDPI/</t>
        </is>
      </c>
    </row>
    <row r="8" ht="15" customHeight="1" s="18">
      <c r="A8" s="20" t="inlineStr">
        <is>
          <t xml:space="preserve">  Taylor&amp;Francis/ACM). 2 = ngoại lệ đã duyệt (tạp chí trong nước có phản biện, luận văn</t>
        </is>
      </c>
    </row>
    <row r="9" ht="15" customHeight="1" s="18">
      <c r="A9" s="20" t="inlineStr">
        <is>
          <t xml:space="preserve">  công khai, sách có NXB) — xem LITERATURE_RULES.md mục Database.</t>
        </is>
      </c>
    </row>
    <row r="10" ht="15" customHeight="1" s="18">
      <c r="A10" s="20" t="inlineStr">
        <is>
          <t>Cột 'RQ liên quan': RQ1 thiết kế kiến trúc | RQ2 giao tiếp PLC/HMI/WinCC/VFD |</t>
        </is>
      </c>
    </row>
    <row r="11" ht="15" customHeight="1" s="18">
      <c r="A11" s="20" t="inlineStr">
        <is>
          <t xml:space="preserve">  RQ3 thông số giám sát | RQ4 đánh giá hiệu năng.</t>
        </is>
      </c>
    </row>
    <row r="12" ht="15" customHeight="1" s="18">
      <c r="A12" s="20" t="inlineStr">
        <is>
          <t>Sheet 'Coverage': đếm tự động số tài liệu theo từng RQ, cảnh báo RQ nào chưa đủ.</t>
        </is>
      </c>
    </row>
    <row r="13" ht="15" customHeight="1" s="18">
      <c r="A13" s="20" t="n"/>
    </row>
    <row r="14" ht="15" customHeight="1" s="18">
      <c r="A14" s="21" t="inlineStr">
        <is>
          <t>Trạng thái tại 2026-08-07: 15/15 tài liệu đã nhập, ĐỦ theo Expected Results</t>
        </is>
      </c>
    </row>
    <row r="15" ht="15" customHeight="1" s="18">
      <c r="A15" s="20" t="inlineStr">
        <is>
          <t>(LITERATURE_RULES.md — tối thiểu 15-20 tài liệu, mỗi RQ tối thiểu 3). RQ1=7, RQ2=7,</t>
        </is>
      </c>
    </row>
    <row r="16" ht="15" customHeight="1" s="18">
      <c r="A16" s="20" t="inlineStr">
        <is>
          <t>RQ3=6, RQ4=4 — tất cả Đạt. STT trong Matrix KHÔNG trùng số trích dẫn [n] trong Chương 1</t>
        </is>
      </c>
    </row>
    <row r="17">
      <c r="A17" s="17" t="inlineStr">
        <is>
          <t>(Chương 1 đánh số lại theo ABC tên tác giả — CITATION_POLICY.md mục 4). 5 tài liệu quá</t>
        </is>
      </c>
    </row>
    <row r="18">
      <c r="A18" s="17" t="inlineStr">
        <is>
          <t>10 năm (theo yêu cầu GVHD) đã gỡ khỏi Matrix, PDF lưu tại</t>
        </is>
      </c>
    </row>
    <row r="19">
      <c r="A19" s="17" t="inlineStr">
        <is>
          <t>References/pdf/_archive_loai_qua10nam/ để tham khảo, không dùng để trích dẫn.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P21"/>
  <sheetViews>
    <sheetView showFormulas="0" showGridLines="1" showRowColHeaders="1" showZeros="1" rightToLeft="0" tabSelected="1" showOutlineSymbols="1" defaultGridColor="1" view="normal" topLeftCell="I1" colorId="64" zoomScale="100" zoomScaleNormal="100" zoomScalePageLayoutView="100" workbookViewId="0">
      <pane xSplit="0" ySplit="1" topLeftCell="A2" activePane="bottomLeft" state="frozen"/>
      <selection pane="topLeft" activeCell="I1" activeCellId="0" sqref="I1"/>
      <selection pane="bottomLeft" activeCell="N7" activeCellId="0" sqref="N7"/>
    </sheetView>
  </sheetViews>
  <sheetFormatPr baseColWidth="8" defaultColWidth="8.66796875" defaultRowHeight="14.25" customHeight="0" zeroHeight="0" outlineLevelRow="0"/>
  <cols>
    <col width="5" customWidth="1" style="22" min="1" max="1"/>
    <col width="20" customWidth="1" style="17" min="2" max="2"/>
    <col width="34" customWidth="1" style="17" min="3" max="3"/>
    <col width="26" customWidth="1" style="17" min="4" max="4"/>
    <col width="14" customWidth="1" style="17" min="5" max="5"/>
    <col width="6" customWidth="1" style="17" min="6" max="6"/>
    <col width="20" customWidth="1" style="17" min="7" max="7"/>
    <col width="22" customWidth="1" style="17" min="8" max="10"/>
    <col width="30" customWidth="1" style="17" min="11" max="11"/>
    <col width="26" customWidth="1" style="17" min="12" max="12"/>
    <col width="12" customWidth="1" style="17" min="13" max="13"/>
    <col width="16" customWidth="1" style="17" min="14" max="14"/>
    <col width="26" customWidth="1" style="17" min="15" max="15"/>
    <col width="36" customWidth="1" style="17" min="16" max="16"/>
  </cols>
  <sheetData>
    <row r="1" ht="30" customHeight="1" s="18">
      <c r="A1" s="23" t="inlineStr">
        <is>
          <t>STT</t>
        </is>
      </c>
      <c r="B1" s="23" t="inlineStr">
        <is>
          <t>Tác giả (Năm)</t>
        </is>
      </c>
      <c r="C1" s="23" t="inlineStr">
        <is>
          <t>Tên tài liệu</t>
        </is>
      </c>
      <c r="D1" s="23" t="inlineStr">
        <is>
          <t>Nguồn (Tạp chí/NXB/Trường)</t>
        </is>
      </c>
      <c r="E1" s="23" t="inlineStr">
        <is>
          <t>Loại nguồn</t>
        </is>
      </c>
      <c r="F1" s="23" t="inlineStr">
        <is>
          <t>Tier</t>
        </is>
      </c>
      <c r="G1" s="23" t="inlineStr">
        <is>
          <t>DOI/ISSN</t>
        </is>
      </c>
      <c r="H1" s="23" t="inlineStr">
        <is>
          <t>Thành phần hệ thống liên quan</t>
        </is>
      </c>
      <c r="I1" s="23" t="inlineStr">
        <is>
          <t>Thông số giám sát đề cập</t>
        </is>
      </c>
      <c r="J1" s="23" t="inlineStr">
        <is>
          <t>Phương pháp đánh giá đề cập</t>
        </is>
      </c>
      <c r="K1" s="23" t="inlineStr">
        <is>
          <t>Kết quả chính</t>
        </is>
      </c>
      <c r="L1" s="23" t="inlineStr">
        <is>
          <t>Khoảng trống/hạn chế</t>
        </is>
      </c>
      <c r="M1" s="23" t="inlineStr">
        <is>
          <t>RQ liên quan</t>
        </is>
      </c>
      <c r="N1" s="23" t="inlineStr">
        <is>
          <t>Trạng thái xác minh</t>
        </is>
      </c>
      <c r="O1" s="23" t="inlineStr">
        <is>
          <t>File (References/pdf/)</t>
        </is>
      </c>
      <c r="P1" s="23" t="inlineStr">
        <is>
          <t>Ghi chú</t>
        </is>
      </c>
    </row>
    <row r="2" ht="60.75" customHeight="1" s="18">
      <c r="A2" s="24" t="n">
        <v>1</v>
      </c>
      <c r="B2" s="35" t="inlineStr">
        <is>
          <t>Malla, N.B. và cộng sự (2023)</t>
        </is>
      </c>
      <c r="C2" s="24" t="inlineStr">
        <is>
          <t>Fault Identification and Protection of Induction Motor Using PLC and SCADA</t>
        </is>
      </c>
      <c r="D2" s="24" t="inlineStr">
        <is>
          <t>Journal of Artificial Intelligence Machine Learning and Neural Network</t>
        </is>
      </c>
      <c r="E2" s="24" t="inlineStr">
        <is>
          <t>Bài báo tạp chí</t>
        </is>
      </c>
      <c r="F2" s="24" t="n">
        <v>2</v>
      </c>
      <c r="G2" s="24" t="inlineStr">
        <is>
          <t>10.55529/jaimlnn.41.27.38</t>
        </is>
      </c>
      <c r="H2" s="24" t="inlineStr">
        <is>
          <t>PLC, SCADA</t>
        </is>
      </c>
      <c r="I2" s="24" t="inlineStr">
        <is>
          <t>Thông số lỗi/sự cố động cơ (fault parameters)</t>
        </is>
      </c>
      <c r="J2" s="24" t="inlineStr">
        <is>
          <t>Lỗi điện áp (Over/Under Voltage): Khi điện áp cấp nguồn vượt quá ngưỡng trên hoặc sụt xuống dưới ngưỡng dưới quy định, khối logic PLC lập tức nhận diện trạng thái lỗi. Hệ thống kích hoạt tín hiệu cảnh báo trên màn hình SCADA trước khi ra lệnh cắt mạch. Lỗi dòng điện (Overcurrent): Thử nghiệm ép tải đột ngột (Overloading) khiến dòng điện tăng vọt. Kết quả thực nghiệm cho thấy PLC thu thập chính xác giá trị dòng điện tăng qua máy biến dòng và xuất tín hiệu ngắt bảo vệ kịp thời để phòng chống cháy cuộn dây stator. Lỗi quá nhiệt (Thermal Overload): Cảm biến nhiệt độ đo chính xác sự gia tăng nhiệt độ của động cơ dưới các điều kiện vận hành khắc nghiệt. Dữ liệu số được vẽ thành biểu đồ đồ thị thời gian thực trên phần mềm SCADA. Lỗi cơ học (Vibration &amp; Under-speed): Các lỗi về độ rung (ổ bi bị mòn/hỏng) và sụt giảm tốc độ (mô phỏng thông qua biến tần VFD) đều được bộ mã hóa vòng quay và cảm biến gia tốc bắt tín hiệu chuẩn xác, hiển thị trực quan thông số RPM lên màn hình máy tính.</t>
        </is>
      </c>
      <c r="K2" s="24" t="inlineStr">
        <is>
          <t>Đề xuất phương pháp nhận diện và bảo vệ lỗi động cơ bằng PLC+SCADA</t>
        </is>
      </c>
      <c r="L2" s="24" t="inlineStr">
        <is>
          <t>Chưa rõ có tích hợp HMI/WinCC/PROFINET đầy đủ hay chỉ PLC-SCADA đơn giản — cần đọc kỹ toàn văn</t>
        </is>
      </c>
      <c r="M2" s="24" t="inlineStr">
        <is>
          <t>RQ2, RQ3</t>
        </is>
      </c>
      <c r="N2" s="24" t="inlineStr">
        <is>
          <t>Malla, N. B., &amp; Ajay, K. C. (2023). Fault identification and protection of induction motor using PLC and SCADA. Journal of Artificial Intelligence, Machine Learning and Neural Network, 3(6), 40–49. doi.org</t>
        </is>
      </c>
      <c r="O2" s="24" t="inlineStr">
        <is>
          <t>References/pdf/2023_Malla_FaultIdentificationPLCSCADA.pdf</t>
        </is>
      </c>
      <c r="P2" s="24" t="inlineStr">
        <is>
          <t>Đây là 1 trong 3 nguồn từng bị thiếu trong danh mục thuyết minh gốc, nay đã bổ sung | CORE: bản sao PDF lưu tại References/pdf/_core_de_tai/ — nguồn nền tảng chính cho thiết kế đề tài (liên quan mạnh, cùng thành phần PLC/HMI/VFD sát nhất).</t>
        </is>
      </c>
    </row>
    <row r="3" ht="58.5" customHeight="1" s="18">
      <c r="A3" s="24" t="n">
        <v>2</v>
      </c>
      <c r="B3" s="24" t="inlineStr">
        <is>
          <t>Manafov, E.K. &amp; Huseynov, F.H. (2024)</t>
        </is>
      </c>
      <c r="C3" s="24" t="inlineStr">
        <is>
          <t>Modeling of an Integrated Traction Motor Protection System</t>
        </is>
      </c>
      <c r="D3" s="24" t="inlineStr">
        <is>
          <t>Наука та прогрес транспорту (Science and Transport Progress)</t>
        </is>
      </c>
      <c r="E3" s="24" t="inlineStr">
        <is>
          <t>Bài báo tạp chí</t>
        </is>
      </c>
      <c r="F3" s="24" t="n">
        <v>2</v>
      </c>
      <c r="G3" s="24" t="inlineStr">
        <is>
          <t>ISSN 2307-3489 (Print), 2307-6666 (Online)</t>
        </is>
      </c>
      <c r="H3" s="24" t="inlineStr">
        <is>
          <t>PLC (TIA Portal)</t>
        </is>
      </c>
      <c r="I3" s="24" t="inlineStr">
        <is>
          <t>Nhiệt độ, từ trường (magnetic field)</t>
        </is>
      </c>
      <c r="J3" s="24" t="inlineStr">
        <is>
          <t>Mô phỏng trên TIA Portal</t>
        </is>
      </c>
      <c r="K3" s="24" t="inlineStr">
        <is>
          <t>Cải tiến bảo vệ động cơ kéo bằng PLC, giám sát đa thông số</t>
        </is>
      </c>
      <c r="L3" s="24" t="inlineStr">
        <is>
          <t>Quy mô công nghiệp đường sắt, không phải mini SCADA giáo dục — cần đối chiếu khi áp dụng</t>
        </is>
      </c>
      <c r="M3" s="24" t="inlineStr">
        <is>
          <t>RQ2, RQ3</t>
        </is>
      </c>
      <c r="N3" s="24" t="inlineStr">
        <is>
          <t>tập 1, số 109 phát hành năm 2024, từ trang 65 đến 77</t>
        </is>
      </c>
      <c r="O3" s="24" t="inlineStr">
        <is>
          <t>References/pdf/2024_Manafov_TractionMotorProtection.pdf</t>
        </is>
      </c>
      <c r="P3" s="24" t="inlineStr">
        <is>
          <t>Nguồn từng bị thiếu trong danh mục thuyết minh gốc, nay đã bổ sung</t>
        </is>
      </c>
    </row>
    <row r="4" ht="45.75" customHeight="1" s="18">
      <c r="A4" s="24" t="n">
        <v>3</v>
      </c>
      <c r="B4" s="24" t="inlineStr">
        <is>
          <t>Phạm Tâm Thành, Vũ Ngọc Minh (2018)</t>
        </is>
      </c>
      <c r="C4" s="24" t="inlineStr">
        <is>
          <t>Mô phỏng bộ khởi động mềm động cơ điện xoay chiều ba pha</t>
        </is>
      </c>
      <c r="D4" s="24" t="inlineStr">
        <is>
          <t>Journal of Transportation Science and Technology, Vol 29</t>
        </is>
      </c>
      <c r="E4" s="24" t="inlineStr">
        <is>
          <t>Bài báo tạp chí</t>
        </is>
      </c>
      <c r="F4" s="24" t="n">
        <v>2</v>
      </c>
      <c r="G4" s="24" t="inlineStr">
        <is>
          <t>44–49. ISSN 1859-4263</t>
        </is>
      </c>
      <c r="H4" s="24" t="inlineStr">
        <is>
          <t>Không có PLC/HMI/WinCC — chỉ mô phỏng PSIM</t>
        </is>
      </c>
      <c r="I4" s="24" t="inlineStr">
        <is>
          <t>Không đề cập giám sát SCADA</t>
        </is>
      </c>
      <c r="J4" s="24" t="inlineStr">
        <is>
          <t>Mô phỏng phần mềm PSIM</t>
        </is>
      </c>
      <c r="K4" s="24" t="inlineStr">
        <is>
          <t>Xây dựng mô hình khởi động mềm động cơ, không liên quan SCADA</t>
        </is>
      </c>
      <c r="L4" s="24" t="inlineStr">
        <is>
          <t>Không thuộc kiến trúc mini SCADA — mức liên quan thấp, chỉ hỗ trợ nền tảng điều khiển động cơ</t>
        </is>
      </c>
      <c r="M4" s="24" t="inlineStr">
        <is>
          <t>RQ1 (yếu)</t>
        </is>
      </c>
      <c r="N4" s="24" t="inlineStr">
        <is>
          <t>Bài nghiên cứu thuộc Số 29 phát hành năm 2018, nằm ở các trang từ 44 đến 49</t>
        </is>
      </c>
      <c r="O4" s="24" t="inlineStr">
        <is>
          <t>References/pdf/2018_PhamTamThanh_SoftStarterMotor.pdf</t>
        </is>
      </c>
      <c r="P4" s="24" t="inlineStr">
        <is>
          <t>Liên quan yếu — cân nhắc có giữ lại hay thay bằng nguồn sát chủ đề hơn</t>
        </is>
      </c>
    </row>
    <row r="5" ht="34.5" customHeight="1" s="18">
      <c r="A5" s="34" t="n">
        <v>4</v>
      </c>
      <c r="B5" s="34" t="inlineStr">
        <is>
          <t>Nguyễn Chí Ngôn và cộng sự (2022)</t>
        </is>
      </c>
      <c r="C5" s="34" t="inlineStr">
        <is>
          <t>Điều khiển thông minh động cơ không đồng bộ 3 pha dựa trên mạng nơ-ron mờ hồi quy</t>
        </is>
      </c>
      <c r="D5" s="34" t="inlineStr">
        <is>
          <t>TNU Journal of Science and Technology</t>
        </is>
      </c>
      <c r="E5" s="34" t="inlineStr">
        <is>
          <t>Bài báo tạp chí</t>
        </is>
      </c>
      <c r="F5" s="34" t="n">
        <v>2</v>
      </c>
      <c r="G5" s="34" t="inlineStr">
        <is>
          <t>10.34238/tnu-jst.5358</t>
        </is>
      </c>
      <c r="H5" s="34" t="inlineStr">
        <is>
          <t>Không có PLC/SCADA — điều khiển bằng thuật toán AI</t>
        </is>
      </c>
      <c r="I5" s="34" t="inlineStr">
        <is>
          <t>Tốc độ động cơ</t>
        </is>
      </c>
      <c r="J5" s="34" t="inlineStr">
        <is>
          <t>Mô phỏng điều khiển bằng mạng nơ-ron mờ hồi quy</t>
        </is>
      </c>
      <c r="K5" s="34" t="inlineStr">
        <is>
          <t>Cải thiện đáp ứng điều khiển tốc độ bằng AI</t>
        </is>
      </c>
      <c r="L5" s="34" t="inlineStr">
        <is>
          <t>Dùng mạng nơ-ron (AI) — NẰM NGOÀI Scope đề tài (Scope loại trừ AI, xem RESEARCH_PROTOCOL.md mục 6)</t>
        </is>
      </c>
      <c r="M5" s="34" t="inlineStr">
        <is>
          <t>Bối cảnh (không phải phương pháp chính)</t>
        </is>
      </c>
      <c r="N5" s="34" t="inlineStr">
        <is>
          <t>Một phần — DOI đã có</t>
        </is>
      </c>
      <c r="O5" s="34" t="inlineStr">
        <is>
          <t>References/pdf/2022_NguyenChiNgon_DieuKhienThongMinhDongCo.pdf</t>
        </is>
      </c>
      <c r="P5" s="34" t="inlineStr">
        <is>
          <t>CHỈ dùng để viết phần bối cảnh/so sánh trong Chương 1, KHÔNG dùng làm cơ sở phương pháp vì đề tài loại trừ AI</t>
        </is>
      </c>
    </row>
    <row r="6" ht="57" customHeight="1" s="18">
      <c r="A6" s="24" t="n">
        <v>5</v>
      </c>
      <c r="B6" s="35" t="inlineStr">
        <is>
          <t>Nguyễn Phương Trà, Nguyễn Thành Đoàn (2020)</t>
        </is>
      </c>
      <c r="C6" s="24" t="inlineStr">
        <is>
          <t>Điều khiển tốc độ động cơ bằng thuật toán PWM với PLC S7-1200 và biến tần ATV310</t>
        </is>
      </c>
      <c r="D6" s="24" t="inlineStr">
        <is>
          <t>TDMU Vietnam Journal of Science</t>
        </is>
      </c>
      <c r="E6" s="24" t="inlineStr">
        <is>
          <t>Bài báo tạp chí</t>
        </is>
      </c>
      <c r="F6" s="24" t="n">
        <v>2</v>
      </c>
      <c r="G6" s="24" t="inlineStr">
        <is>
          <t>10.37550/tdmu.VJS/2020.03.038</t>
        </is>
      </c>
      <c r="H6" s="24" t="inlineStr">
        <is>
          <t>PLC S7-1200, VFD (ATV310), HMI</t>
        </is>
      </c>
      <c r="I6" s="24" t="inlineStr">
        <is>
          <t>Tốc độ, tần số động cơ</t>
        </is>
      </c>
      <c r="J6" s="24" t="inlineStr">
        <is>
          <t>Thực nghiệm trên hệ thống PLC+VFD+HMI thật</t>
        </is>
      </c>
      <c r="K6" s="24" t="inlineStr">
        <is>
          <t>Điều khiển tốc độ động cơ 3 pha chính xác qua PWM, giám sát trên HMI</t>
        </is>
      </c>
      <c r="L6" s="24" t="inlineStr">
        <is>
          <t>Chưa có WinCC/PROFINET/SCADA trung tâm — chỉ dừng ở PLC+VFD+HMI tại chỗ</t>
        </is>
      </c>
      <c r="M6" s="24" t="inlineStr">
        <is>
          <t>RQ1, RQ2, RQ3</t>
        </is>
      </c>
      <c r="N6" s="24" t="inlineStr">
        <is>
          <t>Số 3, tập 46 phát hành năm 2020, thuộc các trang từ 94 đến 104</t>
        </is>
      </c>
      <c r="O6" s="24" t="inlineStr">
        <is>
          <t>References/pdf/2020_NguyenPhuongTra_PWM_S71200_ATV310.pdf</t>
        </is>
      </c>
      <c r="P6" s="24" t="inlineStr">
        <is>
          <t>Một trong những nguồn sát chủ đề nhất — cùng dùng PLC S7-1200 như đề tài | CORE: bản sao PDF lưu tại References/pdf/_core_de_tai/ — nguồn nền tảng chính cho thiết kế đề tài (liên quan mạnh, cùng thành phần PLC/HMI/VFD sát nhất).</t>
        </is>
      </c>
    </row>
    <row r="7" ht="45.75" customHeight="1" s="18">
      <c r="A7" s="24" t="n">
        <v>6</v>
      </c>
      <c r="B7" s="24" t="inlineStr">
        <is>
          <t>Orhanen, A. (2021)</t>
        </is>
      </c>
      <c r="C7" s="24" t="inlineStr">
        <is>
          <t>Thermal overload protection and automated protection relay setting value calculations for high voltage asynchronous motors</t>
        </is>
      </c>
      <c r="D7" s="24" t="inlineStr">
        <is>
          <t>Luận văn Thạc sĩ, School of Technology and Innovations, Vaasa (Phần Lan)</t>
        </is>
      </c>
      <c r="E7" s="24" t="inlineStr">
        <is>
          <t>Luận văn Thạc sĩ</t>
        </is>
      </c>
      <c r="F7" s="24" t="n">
        <v>2</v>
      </c>
      <c r="G7" s="24" t="inlineStr">
        <is>
          <t>Không có DOI (luận văn)</t>
        </is>
      </c>
      <c r="H7" s="24" t="inlineStr">
        <is>
          <t>Không có PLC/SCADA — relay bảo vệ độc lập</t>
        </is>
      </c>
      <c r="I7" s="24" t="inlineStr">
        <is>
          <t>Nhiệt độ, quá tải (thermal overload)</t>
        </is>
      </c>
      <c r="J7" s="24" t="inlineStr">
        <is>
          <t>Tính toán giá trị cài đặt relay bảo vệ tự động</t>
        </is>
      </c>
      <c r="K7" s="24" t="inlineStr">
        <is>
          <t>Đề xuất công thức tính ngưỡng bảo vệ nhiệt cho động cơ cao áp</t>
        </is>
      </c>
      <c r="L7" s="24" t="inlineStr">
        <is>
          <t>Quy mô cao áp công nghiệp, không phải mini SCADA — chỉ tham khảo phần thông số bảo vệ</t>
        </is>
      </c>
      <c r="M7" s="24" t="inlineStr">
        <is>
          <t>RQ3 (yếu)</t>
        </is>
      </c>
      <c r="N7" s="24" t="inlineStr">
        <is>
          <t>Orhanen, A. (2021). Thermal overload protection and automated protection relay setting value calculations for high voltage asynchronous motors [Master's thesis, University of Vaasa]. University of Vaasa Research Repository.</t>
        </is>
      </c>
      <c r="O7" s="24" t="inlineStr">
        <is>
          <t>References/pdf/2021_Orhanen_ThermalOverloadProtection.pdf</t>
        </is>
      </c>
      <c r="P7" s="24" t="inlineStr">
        <is>
          <t>Trước đây bị trích dẫn trong bài (thuyết minh) nhưng thiếu trong danh mục — nay đã khớp</t>
        </is>
      </c>
    </row>
    <row r="8" ht="45.75" customHeight="1" s="18">
      <c r="A8" s="24" t="n">
        <v>7</v>
      </c>
      <c r="B8" s="35" t="inlineStr">
        <is>
          <t>Trần Văn Hiếu (2017)</t>
        </is>
      </c>
      <c r="C8" s="24" t="inlineStr">
        <is>
          <t>Thiết Kế Hệ Thống HMI SCADA Với TIA Portal</t>
        </is>
      </c>
      <c r="D8" s="24" t="inlineStr">
        <is>
          <t>NXB Khoa học Kỹ thuật</t>
        </is>
      </c>
      <c r="E8" s="24" t="inlineStr">
        <is>
          <t>Sách chuyên khảo</t>
        </is>
      </c>
      <c r="F8" s="24" t="n">
        <v>2</v>
      </c>
      <c r="G8" s="24" t="inlineStr">
        <is>
          <t>Không có DOI (sách)</t>
        </is>
      </c>
      <c r="H8" s="24" t="inlineStr">
        <is>
          <t>PLC, HMI, WinCC (toàn bộ hệ sinh thái TIA Portal)</t>
        </is>
      </c>
      <c r="I8" s="24" t="inlineStr">
        <is>
          <t>Không cụ thể — sách hướng dẫn kỹ thuật chung</t>
        </is>
      </c>
      <c r="J8" s="24" t="inlineStr">
        <is>
          <t>Không áp dụng (sách hướng dẫn, không phải nghiên cứu thực nghiệm)</t>
        </is>
      </c>
      <c r="K8" s="24" t="inlineStr">
        <is>
          <t>Hướng dẫn chi tiết cách xây dựng hệ HMI/SCADA bằng TIA Portal — nền tảng kỹ thuật trực tiếp cho Phase 2-3</t>
        </is>
      </c>
      <c r="L8" s="24" t="inlineStr">
        <is>
          <t>Không phải nghiên cứu học thuật (sách hướng dẫn) — dùng làm tài liệu kỹ thuật nền, không dùng để chứng minh Research Gap</t>
        </is>
      </c>
      <c r="M8" s="24" t="inlineStr">
        <is>
          <t>RQ1, RQ2</t>
        </is>
      </c>
      <c r="N8" s="24" t="inlineStr">
        <is>
          <t>Trần, V. H. (2017). Thiết kế hệ thống HMI SCADA với TIA Portal. NXB Khoa học Kỹ thuật.</t>
        </is>
      </c>
      <c r="O8" s="24" t="inlineStr">
        <is>
          <t>References/pdf/2017_TranVanHieu_ThietKeHeThongHmiScadaTiaPortal.pdf</t>
        </is>
      </c>
      <c r="P8" s="24" t="inlineStr">
        <is>
          <t>Nguồn nền tảng kỹ thuật quan trọng nhất cho việc thiết kế thật (Phase 2), dùng nhiều khi triển khai | CORE: bản sao PDF lưu tại References/pdf/_core_de_tai/ — nguồn nền tảng chính cho thiết kế đề tài (liên quan mạnh, cùng thành phần PLC/HMI/VFD sát nhất).</t>
        </is>
      </c>
    </row>
    <row r="9" ht="45.75" customHeight="1" s="18">
      <c r="A9" s="24" t="n">
        <v>8</v>
      </c>
      <c r="B9" s="24" t="inlineStr">
        <is>
          <t>Hijazi, A., Andó, M., Pödör, Z. (2025)</t>
        </is>
      </c>
      <c r="C9" s="24" t="inlineStr">
        <is>
          <t>Analysis of Time Drift and Real-Time Challenges in Programmable Logic Controller-Based Industrial Automation Systems: Insights from 24-Hour and 14-Day Tests</t>
        </is>
      </c>
      <c r="D9" s="24" t="inlineStr">
        <is>
          <t>Actuators, 14(11), 524 (ELTE Eötvös Loránd University, Hungary)</t>
        </is>
      </c>
      <c r="E9" s="24" t="inlineStr">
        <is>
          <t>Bài báo tạp chí</t>
        </is>
      </c>
      <c r="F9" s="24" t="n">
        <v>1</v>
      </c>
      <c r="G9" s="24" t="inlineStr">
        <is>
          <t>10.3390/act14110524</t>
        </is>
      </c>
      <c r="H9" s="24" t="inlineStr">
        <is>
          <t>PLC (TIA/Siemens)</t>
        </is>
      </c>
      <c r="I9" s="24" t="inlineStr">
        <is>
          <t>Time drift, timestamp, độ trễ đồng bộ dữ liệu</t>
        </is>
      </c>
      <c r="J9" s="24" t="inlineStr">
        <is>
          <t>Thực nghiệm liên tục 24 giờ và 14 ngày, đo time drift/timestamp misalignment</t>
        </is>
      </c>
      <c r="K9" s="24" t="inlineStr">
        <is>
          <t>Phát hiện time drift, timestamp misalignment, forward/backward time jump khi PLC gửi dữ liệu liên tục dài hạn</t>
        </is>
      </c>
      <c r="L9" s="24" t="inlineStr">
        <is>
          <t>Không đề cập HMI/WinCC/PROFINET cụ thể — tập trung vào tầng dữ liệu PLC-database</t>
        </is>
      </c>
      <c r="M9" s="24" t="inlineStr">
        <is>
          <t>RQ4</t>
        </is>
      </c>
      <c r="N9" s="24" t="inlineStr">
        <is>
          <t>Đã xác minh, đã có PDF</t>
        </is>
      </c>
      <c r="O9" s="24" t="inlineStr">
        <is>
          <t>References/pdf/2025_Hijazi_TimeDriftPLC.pdf</t>
        </is>
      </c>
      <c r="P9" s="24" t="inlineStr">
        <is>
          <t>Tìm qua WebSearch 2026-08-07. Tải thủ công tại mdpi.com/2076-0825/14/11/524 (open access), lưu tên 2025_Hijazi_TimeDriftPLC.pdf</t>
        </is>
      </c>
    </row>
    <row r="10" ht="57" customHeight="1" s="18">
      <c r="A10" s="24" t="n">
        <v>9</v>
      </c>
      <c r="B10" s="24" t="inlineStr">
        <is>
          <t>Hijazi, A., Andó, M., Pödör, Z. (2024)</t>
        </is>
      </c>
      <c r="C10" s="24" t="inlineStr">
        <is>
          <t>Data losses and synchronization according to delay in PLC-based industrial automation systems</t>
        </is>
      </c>
      <c r="D10" s="24" t="inlineStr">
        <is>
          <t>Heliyon (Cell Press/Elsevier)</t>
        </is>
      </c>
      <c r="E10" s="24" t="inlineStr">
        <is>
          <t>Bài báo tạp chí</t>
        </is>
      </c>
      <c r="F10" s="24" t="n">
        <v>1</v>
      </c>
      <c r="G10" s="24" t="inlineStr">
        <is>
          <t>10.1016/j.heliyon.2024.e37560</t>
        </is>
      </c>
      <c r="H10" s="24" t="inlineStr">
        <is>
          <t>PLC (TIA), kết nối 4 database (MSSQL/MySQL/MongoDB/Cassandra)</t>
        </is>
      </c>
      <c r="I10" s="24" t="inlineStr">
        <is>
          <t>Đếm xung (counter), độ trễ đồng bộ, mất dữ liệu</t>
        </is>
      </c>
      <c r="J10" s="24" t="inlineStr">
        <is>
          <t>Thực nghiệm đo mất dữ liệu và độ lệch đồng bộ ở tần số xung 1Hz, đề xuất công thức hiệu chỉnh độ trễ đạt độ chính xác mili-giây</t>
        </is>
      </c>
      <c r="K10" s="24" t="inlineStr">
        <is>
          <t>Đề xuất phương pháp hiệu chỉnh mất dữ liệu do đồng bộ — giá trị tham khảo trực tiếp cho RQ4 (phương pháp đánh giá độ trễ/mất gói)</t>
        </is>
      </c>
      <c r="L10" s="24" t="inlineStr">
        <is>
          <t>Không dùng SCADA/HMI/WinCC cụ thể — chỉ PLC ghi thẳng vào database</t>
        </is>
      </c>
      <c r="M10" s="24" t="inlineStr">
        <is>
          <t>RQ4</t>
        </is>
      </c>
      <c r="N10" s="24" t="inlineStr">
        <is>
          <t>Đã xác minh, đã có PDF</t>
        </is>
      </c>
      <c r="O10" s="24" t="inlineStr">
        <is>
          <t>References/pdf/2024_Hijazi_DataLossSyncPLC.pdf</t>
        </is>
      </c>
      <c r="P10" s="24" t="inlineStr">
        <is>
          <t>Tìm qua WebSearch 2026-08-07. Open access CC-BY, tải tại cell.com/heliyon hoặc PMC11415645, lưu tên 2024_Hijazi_DataLossSyncPLC.pdf</t>
        </is>
      </c>
    </row>
    <row r="11" ht="57" customHeight="1" s="18">
      <c r="A11" s="24" t="n">
        <v>10</v>
      </c>
      <c r="B11" s="24" t="inlineStr">
        <is>
          <t>Alcayde, A., Robalo, I., Montoya, F.G., Manzano-Agugliaro, F. (2022)</t>
        </is>
      </c>
      <c r="C11" s="24" t="inlineStr">
        <is>
          <t>SCADA System for Online Electrical Engineering Education</t>
        </is>
      </c>
      <c r="D11" s="24" t="inlineStr">
        <is>
          <t>Inventions, 7(4), 115 (University of Almeria, Spain)</t>
        </is>
      </c>
      <c r="E11" s="24" t="inlineStr">
        <is>
          <t>Bài báo tạp chí</t>
        </is>
      </c>
      <c r="F11" s="24" t="n">
        <v>1</v>
      </c>
      <c r="G11" s="24" t="inlineStr">
        <is>
          <t>10.3390/inventions7040115</t>
        </is>
      </c>
      <c r="H11" s="24" t="inlineStr">
        <is>
          <t>SCADA, giáo dục trực tuyến kỹ thuật điện</t>
        </is>
      </c>
      <c r="I11" s="24" t="inlineStr">
        <is>
          <t>1. Thông số giám sát đề cập (Monitored Parameters)Hệ thống SCADA này được triển khai để số hóa và theo dõi một lưới điện thông minh siêu nhỏ (Smart Grid) phục vụ đào tạo từ xa. Các thông số chính được thu thập thời gian thực bao gồm:Thông số nguồn phát năng lượng tái tạo: Giám sát điện áp (\(V\)), dòng điện (\(I\)) và công suất phát (\(P\)) từ hệ thống gồm 18 tấm pin năng lượng mặt trời và 3 tuabin gió.Thông số phụ tải và lưu trữ: Đo lường công suất tiêu thụ của các thiết bị phụ tải trong phòng thí nghiệm và trạng thái nạp/xả của hệ thống ắc quy lưu trữ.Chất lượng điện năng: Giám sát tần số lưới điện và các thành phần sóng hài (harmonics) gây hại cho tín hiệu điện nhằm đưa ra các kịch bản tối ưu hóa dòng năng lượng.</t>
        </is>
      </c>
      <c r="J11" s="24" t="inlineStr">
        <is>
          <t>Phương pháp đánh giá đề cập (Evaluation Methodology)Để xác định mức độ hiệu quả của mô hình phòng thí nghiệm SCADA trực tuyến này, các tác giả đã áp dụng kết hợp hai phương pháp đánh giá chính:Đánh giá kỹ thuật và vận hành (Technical Performance): Kiểm tra độ ổn định của kiến trúc truyền thông web khi truyền tải dữ liệu, khả năng lưu trữ dữ liệu tham số tập trung (Data Logging) liên tục trong nhiều năm và tính chính xác của các thuật toán tự động giảm thiểu năng lượng dư thừa.Đánh giá hiệu quả giáo dục qua khảo sát (Educational Evaluation): Sử dụng các biểu mẫu khảo sát phản hồi từ sinh viên ngành Kỹ thuật điện để thu thập dữ liệu định lượng và định tính về mô hình học trực tuyến. Kết quả thực nghiệm chỉ ra:Mức độ hài lòng: Đạt tỷ lệ chấp thuận 49% đối với môi trường học tập ảo.Độ khó bài học: Có tới 80% sinh viên đánh giá rằng phương pháp tương tác qua hệ thống SCADA trực tuyến đòi hỏi tính chủ động và khắt khe hơn so với phương pháp thực hành truyền thống tại lớp.</t>
        </is>
      </c>
      <c r="K11" s="24" t="inlineStr">
        <is>
          <t>Xây dựng hệ SCADA phục vụ giảng dạy kỹ thuật điện trực tuyến</t>
        </is>
      </c>
      <c r="L11" s="24" t="inlineStr">
        <is>
          <t>Cần đọc toàn văn để xác định có tích hợp PLC/HMI/WinCC/PROFINET như đề tài không</t>
        </is>
      </c>
      <c r="M11" s="24" t="inlineStr">
        <is>
          <t>RQ1</t>
        </is>
      </c>
      <c r="N11" s="24" t="inlineStr">
        <is>
          <t>Đã xác minh, đã có PDF</t>
        </is>
      </c>
      <c r="O11" s="24" t="inlineStr">
        <is>
          <t>References/pdf/2022_Alcayde_SCADAOnlineEEEducation.pdf</t>
        </is>
      </c>
      <c r="P11" s="24" t="inlineStr">
        <is>
          <t>Tìm qua WebSearch 2026-08-07. Tải thủ công tại mdpi.com/2411-5134/7/4/115 (open access), lưu tên 2022_Alcayde_SCADAOnlineEEEducation.pdf</t>
        </is>
      </c>
    </row>
    <row r="12" ht="45.75" customHeight="1" s="18">
      <c r="A12" s="24" t="n">
        <v>11</v>
      </c>
      <c r="B12" s="24" t="inlineStr">
        <is>
          <t>Kalúz, M., Čirka, Ľ., Fikar, M. (2020)</t>
        </is>
      </c>
      <c r="C12" s="24" t="inlineStr">
        <is>
          <t>ELab: A Lightweight SCADA System for Control Engineering Research and Education</t>
        </is>
      </c>
      <c r="D12" s="24" t="inlineStr">
        <is>
          <t>IFAC-PapersOnLine, 53(2), 17228-17233 (21st IFAC World Congress)</t>
        </is>
      </c>
      <c r="E12" s="24" t="inlineStr">
        <is>
          <t>Bài báo hội nghị</t>
        </is>
      </c>
      <c r="F12" s="24" t="n">
        <v>1</v>
      </c>
      <c r="G12" s="24" t="inlineStr">
        <is>
          <t>10.1016/j.ifacol.2020.12.1757</t>
        </is>
      </c>
      <c r="H12" s="24" t="inlineStr">
        <is>
          <t>SCADA (tự xây, mã nguồn mở), không dùng PLC hãng cụ thể</t>
        </is>
      </c>
      <c r="I12" s="24" t="inlineStr">
        <is>
          <t>Tùy nghi qua I/O node (Arduino/Raspberry Pi)</t>
        </is>
      </c>
      <c r="J12" s="24" t="inlineStr">
        <is>
          <t>Phương pháp đánh giá tính mở và khả năng tương thích lập trình (Programming Flexibility)Các tác giả tập trung đánh giá mức độ tương thích của nền tảng eLab khi người dùng áp dụng các ngôn ngữ lập trình và công cụ phát triển thuật toán khác nhau:Hỗ trợ đa ngôn ngữ (Language Agnosticism): Đánh giá khả năng viết mã điều khiển linh hoạt của sinh viên/nhà nghiên cứu bằng nhiều ngôn ngữ như Python, MATLAB, C/C++, hoặc JavaScript để giao tiếp với hệ thống phần cứng thông qua các hàm thư viện RESTful API hoặc WebSockets.Tích hợp các bộ thư viện tính toán: Kiểm tra tính sẵn sàng khi nhúng các thuật toán điều khiển tự động hóa từ cơ bản đến chuyên sâu (như bộ điều khiển PID, điều khiển mờ/Fuzzy Logic, điều khiển tối ưu) vào mã nguồn ứng dụng để tương tác trực tiếp với thẻ dữ liệu (tags) của SCADA.2. Phương pháp kiểm chứng xử lý vòng lặp điều khiển (Control Loop Execution)Xác minh thời gian thực (Real-time Execution): Đánh giá chu kỳ quét dữ liệu (scan rate) và thời gian thực thi của vòng lặp phản hồi (feedback loop) khi mã lập trình gửi lệnh điều khiển từ xa đến các thiết bị phần cứng đầu cuối qua mạng không dây.Xử lý bất đồng bộ (Asynchronous Processing): Kiểm chứng hiệu suất lập trình hướng sự kiện trên nền tảng Node.js ở backend. Đảm bảo rằng việc chạy đồng thời nhiều tiến trình logic của thuật toán điều khiển không gây ra hiện tượng nghẽn mạch hoặc trễ dữ liệu hệ thống.3. Phương pháp đánh giá quy trình gỡ lỗi và cấu hình (Debugging &amp; Configuration Usability)Giảm thiểu độ phức tạp mã nguồn (Low Code Overhead): Đánh giá tính tối giản của cú pháp lập trình khi khai báo cấu hình hệ thống. Người học chỉ cần sử dụng các tệp định dạng nhẹ như JSON để định nghĩa các cổng I/O và thẻ SCADA thay vì phải viết các đoạn mã kết nối phần cứng phức tạp.Gỡ lỗi trực quan (Visual Debugging): Kiểm tra khả năng đồng bộ tức thời giữa kết quả tính toán của thuật toán lập trình với đồ thị hiển thị trên giao diện người-máy (HMI), giúp người lập trình phát hiện nhanh các lỗi sai số hoặc lỗi logic trong quá trình thử nghiệm.</t>
        </is>
      </c>
      <c r="K12" s="24" t="inlineStr">
        <is>
          <t>Xây SCADA nhẹ (lightweight), mã nguồn mở, chi phí thấp cho phòng thí nghiệm điều khiển — rất sát tinh thần 'mini SCADA' của đề tài</t>
        </is>
      </c>
      <c r="L12" s="24" t="inlineStr">
        <is>
          <t>Dùng phần cứng mã nguồn mở (Arduino/Raspberry Pi) thay vì PLC công nghiệp như S7-1200 — khác nền tảng, chỉ tham khảo kiến trúc tổng thể</t>
        </is>
      </c>
      <c r="M12" s="24" t="inlineStr">
        <is>
          <t>RQ1</t>
        </is>
      </c>
      <c r="N12" s="24" t="inlineStr">
        <is>
          <t>Đã xác minh, đã có PDF</t>
        </is>
      </c>
      <c r="O12" s="24" t="inlineStr">
        <is>
          <t>References/pdf/2020_Kaluz_ELabLightweightSCADA.pdf</t>
        </is>
      </c>
      <c r="P12" s="24" t="inlineStr">
        <is>
          <t>Tìm qua WebSearch 2026-08-07. Open access qua ScienceDirect, lưu tên 2020_Kaluz_ELabLightweightSCADA.pdf. Nguồn RQ1 tốt nhất tìm được — nên đọc kỹ trước</t>
        </is>
      </c>
    </row>
    <row r="13" ht="57" customHeight="1" s="18">
      <c r="A13" s="24" t="n">
        <v>12</v>
      </c>
      <c r="B13" s="24" t="inlineStr">
        <is>
          <t>Müller, T., Doran, H.D. (2018)</t>
        </is>
      </c>
      <c r="C13" s="24" t="inlineStr">
        <is>
          <t>Protecting PROFINET cyclic real-time traffic: A performance evaluation and verification platform</t>
        </is>
      </c>
      <c r="D13" s="24" t="inlineStr">
        <is>
          <t>2018 14th IEEE International Workshop on Factory Communication Systems (WFCS), Imperia, Italy</t>
        </is>
      </c>
      <c r="E13" s="24" t="inlineStr">
        <is>
          <t>Bài báo hội nghị</t>
        </is>
      </c>
      <c r="F13" s="24" t="n">
        <v>1</v>
      </c>
      <c r="G13" s="24" t="inlineStr">
        <is>
          <t>10.1109/WFCS.2018.8402379</t>
        </is>
      </c>
      <c r="H13" s="24" t="inlineStr">
        <is>
          <t>PROFINET</t>
        </is>
      </c>
      <c r="I13" s="24" t="inlineStr">
        <is>
          <t>Cycle time thực (real-time cyclic traffic)</t>
        </is>
      </c>
      <c r="J13" s="24" t="inlineStr">
        <is>
          <t>Xây dựng nền tảng (switch bảo mật trong suốt) để đo hiệu năng truyền thông chu kỳ thực khi thêm lớp bảo mật</t>
        </is>
      </c>
      <c r="K13" s="24" t="inlineStr">
        <is>
          <t>Cung cấp nền tảng/phương pháp đo hiệu năng PROFINET thời gian thực có thể tham khảo cho RQ4</t>
        </is>
      </c>
      <c r="L13" s="24" t="inlineStr">
        <is>
          <t>Trọng tâm là bảo mật (an ninh mạng), không phải đánh giá hiệu năng thuần túy — chỉ dùng một phần phương pháp đo</t>
        </is>
      </c>
      <c r="M13" s="24" t="inlineStr">
        <is>
          <t>RQ2, RQ4</t>
        </is>
      </c>
      <c r="N13" s="24" t="inlineStr">
        <is>
          <t>Đã xác minh, đã có PDF</t>
        </is>
      </c>
      <c r="O13" s="24" t="inlineStr">
        <is>
          <t>References/pdf/2018_Muller_ProtectingPROFINET.pdf</t>
        </is>
      </c>
      <c r="P13" s="24" t="inlineStr">
        <is>
          <t>Tìm qua WebSearch 2026-08-07 (thay thế Ferrari 2004/2006 đã loại quá 10 năm). Cần quyền IEEE Xplore, lưu tên 2018_Muller_ProtectingPROFINET.pdf | Xác minh trang 1 (2026-08-07): đúng tác giả/tiêu đề (Thomas Müller, Hans Dermot Doran, ZHAW), 4 trang khớp tr.1-4.</t>
        </is>
      </c>
    </row>
    <row r="14" ht="57" customHeight="1" s="18">
      <c r="A14" s="34" t="n">
        <v>13</v>
      </c>
      <c r="B14" s="34" t="inlineStr">
        <is>
          <t>Norimatsu, T., Yamauchi, T. (2023)</t>
        </is>
      </c>
      <c r="C14" s="34" t="inlineStr">
        <is>
          <t>Non real-time data transmission performance analysis of PROFINET for assuring data transmission quality</t>
        </is>
      </c>
      <c r="D14" s="34" t="inlineStr">
        <is>
          <t>2023 5th International Conference on Computer Communication and the Internet (ICCCI), pp. 236-244</t>
        </is>
      </c>
      <c r="E14" s="34" t="inlineStr">
        <is>
          <t>Bài báo hội nghị</t>
        </is>
      </c>
      <c r="F14" s="34" t="n">
        <v>1</v>
      </c>
      <c r="G14" s="34" t="inlineStr">
        <is>
          <t>10.1109/ICCCI59363.2023.10210171</t>
        </is>
      </c>
      <c r="H14" s="34" t="inlineStr">
        <is>
          <t>PROFINET (IRT/RT/NRT)</t>
        </is>
      </c>
      <c r="I14" s="34" t="inlineStr">
        <is>
          <t>Độ trễ truyền dữ liệu (data transmission latency) theo tải mạng</t>
        </is>
      </c>
      <c r="J14" s="34" t="inlineStr">
        <is>
          <t>Đo thực nghiệm độ trễ NRT khi tăng lượng dữ liệu truyền ở cả 3 chế độ IRT/RT/NRT</t>
        </is>
      </c>
      <c r="K14" s="34" t="inlineStr">
        <is>
          <t>Chất lượng truyền dữ liệu NRT suy giảm khi lượng dữ liệu truyền ở IRT/RT/NRT tăng — dữ liệu định lượng hữu ích cho RQ4</t>
        </is>
      </c>
      <c r="L14" s="34" t="inlineStr">
        <is>
          <t>Nghiên cứu 2023, công nghệ PROFINET mới nhất trong nhóm — thay thế tốt cho các bài Ferrari cũ đã loại</t>
        </is>
      </c>
      <c r="M14" s="34" t="inlineStr">
        <is>
          <t>RQ2, RQ4</t>
        </is>
      </c>
      <c r="N14" s="34" t="inlineStr">
        <is>
          <t>Đã xác minh, đã có PDF</t>
        </is>
      </c>
      <c r="O14" s="34" t="inlineStr">
        <is>
          <t>References/pdf/2023_Norimatsu_PROFINETNonRealTime.pdf</t>
        </is>
      </c>
      <c r="P14" s="34" t="inlineStr">
        <is>
          <t>Tìm qua WebSearch 2026-08-07. Cần quyền IEEE Xplore, lưu tên 2023_Norimatsu_PROFINETNonRealTime.pdf | Xác minh trang 1 (2026-08-07): đúng tác giả/tiêu đề (Takashi Norimatsu, Toshihiro Yamauchi, Okayama University), 236-244 (9tr, khớp).</t>
        </is>
      </c>
    </row>
    <row r="15" ht="68.25" customHeight="1" s="18">
      <c r="A15" s="34" t="n">
        <v>14</v>
      </c>
      <c r="B15" s="36" t="inlineStr">
        <is>
          <t>Rahmatullah, D., Iradiratu Diah, P., Dewantara, B.Y., Achmad, F. (2021)</t>
        </is>
      </c>
      <c r="C15" s="34" t="inlineStr">
        <is>
          <t>Design and Build of 3 Phase Induction Motor Speed Regulation on Programmable Logic Controller (PLC) Using PID Control Method</t>
        </is>
      </c>
      <c r="D15" s="34" t="inlineStr">
        <is>
          <t>2021 3rd International Conference on Research and Academic Community Services (ICRACOS), Surabaya</t>
        </is>
      </c>
      <c r="E15" s="34" t="inlineStr">
        <is>
          <t>Bài báo hội nghị</t>
        </is>
      </c>
      <c r="F15" s="34" t="n">
        <v>1</v>
      </c>
      <c r="G15" s="34" t="inlineStr">
        <is>
          <t>10.1109/ICRACOS53680.2021.9701992</t>
        </is>
      </c>
      <c r="H15" s="34" t="inlineStr">
        <is>
          <t>PLC, VFD/VSD</t>
        </is>
      </c>
      <c r="I15" s="34" t="inlineStr">
        <is>
          <t>Tốc độ động cơ (vòng kín — closed-loop)</t>
        </is>
      </c>
      <c r="J15" s="34" t="inlineStr">
        <is>
          <t>Điều khiển PID Autotuning để tăng đáp ứng và duy trì tốc độ theo giá trị đặt</t>
        </is>
      </c>
      <c r="K15" s="34" t="inlineStr">
        <is>
          <t>Bổ khuyết đúng hạn chế đã nêu ở nguồn Nguyễn Phương Trà (2020, STT6): có vòng điều khiển kín (closed-loop) mà STT6 còn thiếu</t>
        </is>
      </c>
      <c r="L15" s="34" t="inlineStr">
        <is>
          <t>Chưa có HMI/WinCC/PROFINET/SCADA trung tâm — chỉ dừng ở PLC+VFD vòng kín</t>
        </is>
      </c>
      <c r="M15" s="34" t="inlineStr">
        <is>
          <t>RQ1, RQ2, RQ3</t>
        </is>
      </c>
      <c r="N15" s="34" t="inlineStr">
        <is>
          <t>Đã xác minh, đã có PDF</t>
        </is>
      </c>
      <c r="O15" s="34" t="inlineStr">
        <is>
          <t>References/pdf/2021_Rahmatullah_PLCPIDSpeedControl.pdf</t>
        </is>
      </c>
      <c r="P15" s="34" t="inlineStr">
        <is>
          <t>Tìm qua WebSearch 2026-08-07. Cần quyền IEEE Xplore, lưu tên 2021_Rahmatullah_PLCPIDSpeedControl.pdf | Xác minh trang 1 (2026-08-07): đúng 4 tác giả (Rahmatullah, Iradiratu Diah PK, Dewantara, Achmad), Universitas Hang Tuah/Negeri Surabaya, tr.275-280 (6tr, khớp), DOI khớp. | CORE: bản sao PDF lưu tại References/pdf/_core_de_tai/ — nguồn nền tảng chính cho thiết kế đề tài (liên quan mạnh, cùng thành phần PLC/HMI/VFD sát nhất).</t>
        </is>
      </c>
    </row>
    <row r="16" ht="57.75" customHeight="1" s="18">
      <c r="A16" s="34" t="n">
        <v>15</v>
      </c>
      <c r="B16" s="36" t="inlineStr">
        <is>
          <t>Kumar, D., Basit, A., Saleem, A., Abbas, E.G. (2019)</t>
        </is>
      </c>
      <c r="C16" s="34" t="inlineStr">
        <is>
          <t>PLC based Monitoring and Protection of 3 phase Induction Motor against various abnormal conditions</t>
        </is>
      </c>
      <c r="D16" s="34" t="inlineStr">
        <is>
          <t>2019 International Conference on Engineering and Emerging Technologies (ICEET/ICOMET)</t>
        </is>
      </c>
      <c r="E16" s="34" t="inlineStr">
        <is>
          <t>Bài báo hội nghị</t>
        </is>
      </c>
      <c r="F16" s="34" t="n">
        <v>1</v>
      </c>
      <c r="G16" s="34" t="inlineStr">
        <is>
          <t>10.1109/ICOMET.2019.8673497</t>
        </is>
      </c>
      <c r="H16" s="34" t="inlineStr">
        <is>
          <t>PLC, HMI</t>
        </is>
      </c>
      <c r="I16" s="34" t="inlineStr">
        <is>
          <t>Quá dòng, quá áp, quá nhiệt (over current/voltage/temperature)</t>
        </is>
      </c>
      <c r="J16" s="34" t="inlineStr">
        <is>
          <t>Không rõ — cần đọc toàn văn</t>
        </is>
      </c>
      <c r="K16" s="34" t="inlineStr">
        <is>
          <t>Hệ thống bảo vệ PLC chi phí thấp, giám sát liên tục và cảnh báo qua HMI khi phát hiện bất thường</t>
        </is>
      </c>
      <c r="L16" s="34" t="inlineStr">
        <is>
          <t>Không có WinCC/PROFINET/SCADA trung tâm — chỉ PLC+HMI tại chỗ, tương tự [1]/[10] nhưng năm gần hơn</t>
        </is>
      </c>
      <c r="M16" s="34" t="inlineStr">
        <is>
          <t>RQ1, RQ3</t>
        </is>
      </c>
      <c r="N16" s="34" t="inlineStr">
        <is>
          <t>Đã xác minh, đã có PDF</t>
        </is>
      </c>
      <c r="O16" s="34" t="inlineStr">
        <is>
          <t>References/pdf/2019_Kumar_PLCMonitoringProtection.pdf</t>
        </is>
      </c>
      <c r="P16" s="34" t="inlineStr">
        <is>
          <t>Tìm qua WebSearch 2026-08-07. Cần quyền IEEE Xplore, lưu tên 2019_Kumar_PLCMonitoringProtection.pdf | Xác minh trang 1 (2026-08-07): đúng 4 tác giả (Kumar, Basit, Saleem, Ghulam Abbas), Sukkur IBA University. Số trang trong kỷ yếu chưa in trên file. | CORE: bản sao PDF lưu tại References/pdf/_core_de_tai/ — nguồn nền tảng chính cho thiết kế đề tài (liên quan mạnh, cùng thành phần PLC/HMI/VFD sát nhất).</t>
        </is>
      </c>
    </row>
    <row r="17" ht="79.5" customHeight="1" s="18">
      <c r="A17" s="25" t="n"/>
      <c r="B17" s="25" t="n"/>
      <c r="C17" s="25" t="n"/>
      <c r="D17" s="25" t="n"/>
      <c r="E17" s="25" t="n"/>
      <c r="F17" s="25" t="n"/>
      <c r="G17" s="25" t="n"/>
      <c r="H17" s="25" t="n"/>
      <c r="I17" s="25" t="n"/>
      <c r="J17" s="25" t="n"/>
      <c r="K17" s="25" t="n"/>
      <c r="L17" s="25" t="n"/>
      <c r="M17" s="25" t="n"/>
      <c r="N17" s="25" t="n"/>
      <c r="O17" s="25" t="n"/>
      <c r="P17" s="25" t="n"/>
    </row>
    <row r="18" ht="45.75" customHeight="1" s="18">
      <c r="A18" s="24" t="n"/>
      <c r="B18" s="24" t="n"/>
      <c r="C18" s="24" t="n"/>
      <c r="D18" s="24" t="n"/>
      <c r="E18" s="24" t="n"/>
      <c r="F18" s="24" t="n"/>
      <c r="G18" s="24" t="n"/>
      <c r="H18" s="24" t="n"/>
      <c r="I18" s="24" t="n"/>
      <c r="J18" s="24" t="n"/>
      <c r="K18" s="24" t="n"/>
      <c r="L18" s="24" t="n"/>
      <c r="M18" s="24" t="n"/>
      <c r="N18" s="24" t="n"/>
      <c r="O18" s="24" t="n"/>
      <c r="P18" s="24" t="n"/>
    </row>
    <row r="19" ht="45.75" customHeight="1" s="18">
      <c r="A19" s="24" t="n"/>
      <c r="B19" s="24" t="n"/>
      <c r="C19" s="24" t="n"/>
      <c r="D19" s="24" t="n"/>
      <c r="E19" s="24" t="n"/>
      <c r="F19" s="24" t="n"/>
      <c r="G19" s="24" t="n"/>
      <c r="H19" s="24" t="n"/>
      <c r="I19" s="24" t="n"/>
      <c r="J19" s="24" t="n"/>
      <c r="K19" s="24" t="n"/>
      <c r="L19" s="24" t="n"/>
      <c r="M19" s="24" t="n"/>
      <c r="N19" s="24" t="n"/>
      <c r="O19" s="24" t="n"/>
      <c r="P19" s="24" t="n"/>
    </row>
    <row r="20" ht="45.75" customHeight="1" s="18">
      <c r="A20" s="24" t="n"/>
      <c r="B20" s="24" t="n"/>
      <c r="C20" s="24" t="n"/>
      <c r="D20" s="24" t="n"/>
      <c r="E20" s="24" t="n"/>
      <c r="F20" s="24" t="n"/>
      <c r="G20" s="24" t="n"/>
      <c r="H20" s="24" t="n"/>
      <c r="I20" s="24" t="n"/>
      <c r="J20" s="24" t="n"/>
      <c r="K20" s="24" t="n"/>
      <c r="L20" s="24" t="n"/>
      <c r="M20" s="24" t="n"/>
      <c r="N20" s="24" t="n"/>
      <c r="O20" s="24" t="n"/>
      <c r="P20" s="24" t="n"/>
    </row>
    <row r="21" ht="57" customHeight="1" s="18">
      <c r="A21" s="24" t="n"/>
      <c r="B21" s="24" t="n"/>
      <c r="C21" s="24" t="n"/>
      <c r="D21" s="24" t="n"/>
      <c r="E21" s="24" t="n"/>
      <c r="F21" s="24" t="n"/>
      <c r="G21" s="24" t="n"/>
      <c r="H21" s="24" t="n"/>
      <c r="I21" s="24" t="n"/>
      <c r="J21" s="24" t="n"/>
      <c r="K21" s="24" t="n"/>
      <c r="L21" s="24" t="n"/>
      <c r="M21" s="24" t="n"/>
      <c r="N21" s="24" t="n"/>
      <c r="O21" s="24" t="n"/>
      <c r="P21" s="2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0" activeCellId="0" sqref="D10"/>
    </sheetView>
  </sheetViews>
  <sheetFormatPr baseColWidth="8" defaultColWidth="8.66796875" defaultRowHeight="14.25" customHeight="0" zeroHeight="0" outlineLevelRow="0"/>
  <cols>
    <col width="30" customWidth="1" style="17" min="1" max="1"/>
    <col width="14" customWidth="1" style="17" min="2" max="3"/>
    <col width="50" customWidth="1" style="17" min="4" max="4"/>
  </cols>
  <sheetData>
    <row r="1" ht="24.75" customHeight="1" s="18">
      <c r="A1" s="26" t="inlineStr">
        <is>
          <t>RQ</t>
        </is>
      </c>
      <c r="B1" s="26" t="inlineStr">
        <is>
          <t>Số tài liệu hỗ trợ</t>
        </is>
      </c>
      <c r="C1" s="26" t="inlineStr">
        <is>
          <t>Đạt tối thiểu 3?</t>
        </is>
      </c>
      <c r="D1" s="26" t="inlineStr">
        <is>
          <t>Ghi chú</t>
        </is>
      </c>
    </row>
    <row r="2" ht="15" customHeight="1" s="18">
      <c r="A2" s="27" t="inlineStr">
        <is>
          <t>RQ1</t>
        </is>
      </c>
      <c r="B2" s="28">
        <f>COUNTIF(Matrix!M2:M16,"*RQ1*")</f>
        <v/>
      </c>
      <c r="C2" s="29">
        <f>IF(B2&gt;=3,"Đạt","CHƯA đủ (cần thêm " &amp; (3-B2) &amp; ")")</f>
        <v/>
      </c>
      <c r="D2" s="30" t="inlineStr">
        <is>
          <t>Lưu ý: cột B đếm MỌI dòng có nhắc RQ đó, kể cả liên quan yếu. "Đạt" ở đây là đạt về SỐ LƯỢNG, chưa chắc đạt về CHẤT LƯỢNG — đọc cột Khoảng trống/hạn chế ở sheet Matrix trước khi kết luận RQ nào thực sự đủ.</t>
        </is>
      </c>
    </row>
    <row r="3" ht="15" customHeight="1" s="18">
      <c r="A3" s="27" t="inlineStr">
        <is>
          <t>RQ2</t>
        </is>
      </c>
      <c r="B3" s="28">
        <f>COUNTIF(Matrix!M2:M16,"*RQ2*")</f>
        <v/>
      </c>
      <c r="C3" s="29">
        <f>IF(B3&gt;=3,"Đạt","CHƯA đủ (cần thêm " &amp; (3-B3) &amp; ")")</f>
        <v/>
      </c>
    </row>
    <row r="4" ht="15" customHeight="1" s="18">
      <c r="A4" s="27" t="inlineStr">
        <is>
          <t>RQ3</t>
        </is>
      </c>
      <c r="B4" s="28">
        <f>COUNTIF(Matrix!M2:M16,"*RQ3*")</f>
        <v/>
      </c>
      <c r="C4" s="29">
        <f>IF(B4&gt;=3,"Đạt","CHƯA đủ (cần thêm " &amp; (3-B4) &amp; ")")</f>
        <v/>
      </c>
    </row>
    <row r="5" ht="15" customHeight="1" s="18">
      <c r="A5" s="27" t="inlineStr">
        <is>
          <t>RQ4</t>
        </is>
      </c>
      <c r="B5" s="28">
        <f>COUNTIF(Matrix!M2:M16,"*RQ4*")</f>
        <v/>
      </c>
      <c r="C5" s="29">
        <f>IF(B5&gt;=3,"Đạt","CHƯA đủ (cần thêm " &amp; (3-B5) &amp; ")")</f>
        <v/>
      </c>
    </row>
    <row r="6" ht="15" customHeight="1" s="18">
      <c r="A6" s="31" t="inlineStr">
        <is>
          <t>Tổng số tài liệu</t>
        </is>
      </c>
      <c r="B6" s="31">
        <f>COUNTIF(Matrix!A2:A16,"&gt;0")</f>
        <v/>
      </c>
      <c r="C6" s="31">
        <f>IF(B6&gt;=15,"Đạt (≥15)","CHƯA đủ (cần ≥15-20)")</f>
        <v/>
      </c>
    </row>
    <row r="8" ht="15" customHeight="1" s="18">
      <c r="A8" s="32" t="n"/>
    </row>
    <row r="9" ht="15" customHeight="1" s="18">
      <c r="A9" s="33" t="inlineStr">
        <is>
          <t>Nhận xét (cập nhật 2026-08-07, sau khi dọn 5 nguồn LOẠI quá 10 năm):</t>
        </is>
      </c>
    </row>
    <row r="10" ht="15" customHeight="1" s="18">
      <c r="A10" s="32" t="inlineStr">
        <is>
          <t>- Matrix đã dọn gọn còn đúng 15 nguồn đang dùng (STT 1-15), không còn dòng LOẠI.</t>
        </is>
      </c>
    </row>
    <row r="11" ht="15" customHeight="1" s="18">
      <c r="A11" s="32" t="inlineStr">
        <is>
          <t>- 5 nguồn quá 10 năm (Gedzurs, Adamo, Ferrari 2004/2006, Sowmiya) đã chuyển PDF sang</t>
        </is>
      </c>
    </row>
    <row r="12" ht="15" customHeight="1" s="18">
      <c r="A12" s="32" t="inlineStr">
        <is>
          <t xml:space="preserve">  References/pdf/_archive_loai_qua10nam/, không tính vào Literature Matrix/Coverage nữa.</t>
        </is>
      </c>
    </row>
    <row r="13" ht="15" customHeight="1" s="18">
      <c r="A13" s="32" t="inlineStr">
        <is>
          <t>- Cả 4 RQ đều đạt ngưỡng tối thiểu 3 nguồn; tổng 15/15-20 đạt ngưỡng tối thiểu.</t>
        </is>
      </c>
    </row>
    <row r="14" ht="15" customHeight="1" s="18">
      <c r="A14" s="32" t="n"/>
    </row>
    <row r="15" ht="15" customHeight="1" s="18">
      <c r="A15" s="32" t="n"/>
    </row>
    <row r="16" ht="15" customHeight="1" s="18">
      <c r="A16" s="32" t="n"/>
    </row>
    <row r="17" ht="15" customHeight="1" s="18">
      <c r="A17" s="3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2026-08-07T09:37:44Z</dcterms:created>
  <dcterms:modified xmlns:dcterms="http://purl.org/dc/terms/" xmlns:xsi="http://www.w3.org/2001/XMLSchema-instance" xsi:type="dcterms:W3CDTF">2026-08-07T12:29:24Z</dcterms:modified>
  <cp:lastModifiedBy>huy tang</cp:lastModifiedBy>
  <cp:revision>0</cp:revision>
</cp:coreProperties>
</file>